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e d'emploi" sheetId="1" state="visible" r:id="rId1"/>
    <sheet name="Tableau de bord" sheetId="2" state="visible" r:id="rId2"/>
    <sheet name="Reglages" sheetId="3" state="visible" r:id="rId3"/>
    <sheet name="AAVE" sheetId="4" state="visible" r:id="rId4"/>
    <sheet name="ADA" sheetId="5" state="visible" r:id="rId5"/>
    <sheet name="BCH" sheetId="6" state="visible" r:id="rId6"/>
    <sheet name="DGB" sheetId="7" state="visible" r:id="rId7"/>
    <sheet name="DOGE" sheetId="8" state="visible" r:id="rId8"/>
    <sheet name="ETH" sheetId="9" state="visible" r:id="rId9"/>
    <sheet name="TRX" sheetId="10" state="visible" r:id="rId10"/>
    <sheet name="UNI" sheetId="11" state="visible" r:id="rId11"/>
    <sheet name="XRP" sheetId="12" state="visible" r:id="rId12"/>
    <sheet name="Risque" sheetId="13" state="visible" r:id="rId13"/>
  </sheets>
  <definedNames/>
  <calcPr calcId="124519" fullCalcOnLoad="1"/>
</workbook>
</file>

<file path=xl/styles.xml><?xml version="1.0" encoding="utf-8"?>
<styleSheet xmlns="http://schemas.openxmlformats.org/spreadsheetml/2006/main">
  <numFmts count="16">
    <numFmt numFmtId="164" formatCode="0.000%"/>
    <numFmt numFmtId="165" formatCode="#,##0 &quot; EUR&quot;"/>
    <numFmt numFmtId="166" formatCode="0&quot; jours&quot;"/>
    <numFmt numFmtId="167" formatCode="+0%;-0%"/>
    <numFmt numFmtId="168" formatCode="0.0%"/>
    <numFmt numFmtId="169" formatCode="0.00000"/>
    <numFmt numFmtId="170" formatCode="0.0000000"/>
    <numFmt numFmtId="171" formatCode="#,##0.0000"/>
    <numFmt numFmtId="172" formatCode="#,##0&quot; EUR&quot;"/>
    <numFmt numFmtId="173" formatCode="dd/mm/yyyy"/>
    <numFmt numFmtId="174" formatCode="0&quot; j&quot;"/>
    <numFmt numFmtId="175" formatCode="#,##0.000"/>
    <numFmt numFmtId="176" formatCode="+#,##0.00;-#,##0.00"/>
    <numFmt numFmtId="177" formatCode="+#,##0.00&quot; EUR&quot;"/>
    <numFmt numFmtId="178" formatCode="+#,##0.00"/>
    <numFmt numFmtId="179" formatCode="0&quot; operations&quot;"/>
  </numFmts>
  <fonts count="8">
    <font>
      <name val="Calibri"/>
      <family val="2"/>
      <color theme="1"/>
      <sz val="11"/>
      <scheme val="minor"/>
    </font>
    <font>
      <name val="Calibri"/>
      <b val="1"/>
      <color rgb="001F2A33"/>
      <sz val="16"/>
    </font>
    <font>
      <name val="Calibri"/>
      <color rgb="006B7A88"/>
      <sz val="9"/>
    </font>
    <font>
      <name val="Calibri"/>
      <b val="1"/>
      <color rgb="001F2A33"/>
      <sz val="12"/>
    </font>
    <font>
      <name val="Calibri"/>
      <b val="1"/>
      <color rgb="001F2A33"/>
      <sz val="10"/>
    </font>
    <font>
      <name val="Calibri"/>
      <color rgb="001F2A33"/>
      <sz val="10"/>
    </font>
    <font>
      <name val="Calibri"/>
      <b val="1"/>
      <color rgb="00FFFFFF"/>
      <sz val="10"/>
    </font>
    <font>
      <name val="Calibri"/>
      <b val="1"/>
      <color rgb="000E6B75"/>
      <sz val="10"/>
    </font>
  </fonts>
  <fills count="5">
    <fill>
      <patternFill/>
    </fill>
    <fill>
      <patternFill patternType="gray125"/>
    </fill>
    <fill>
      <patternFill patternType="solid">
        <fgColor rgb="00DDECEE"/>
      </patternFill>
    </fill>
    <fill>
      <patternFill patternType="solid">
        <fgColor rgb="00FFF8E1"/>
      </patternFill>
    </fill>
    <fill>
      <patternFill patternType="solid">
        <fgColor rgb="001F2A33"/>
      </patternFill>
    </fill>
  </fills>
  <borders count="2">
    <border>
      <left/>
      <right/>
      <top/>
      <bottom/>
      <diagonal/>
    </border>
    <border>
      <left style="thin">
        <color rgb="00D5DCE1"/>
      </left>
      <right style="thin">
        <color rgb="00D5DCE1"/>
      </right>
      <top style="thin">
        <color rgb="00D5DCE1"/>
      </top>
      <bottom style="thin">
        <color rgb="00D5DCE1"/>
      </bottom>
    </border>
  </borders>
  <cellStyleXfs count="1">
    <xf numFmtId="0" fontId="0" fillId="0" borderId="0"/>
  </cellStyleXfs>
  <cellXfs count="75">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wrapText="1"/>
    </xf>
    <xf numFmtId="0" fontId="4" fillId="0" borderId="0" applyAlignment="1" pivotButton="0" quotePrefix="0" xfId="0">
      <alignment horizontal="left" vertical="center" wrapText="1"/>
    </xf>
    <xf numFmtId="0" fontId="5" fillId="0" borderId="0" applyAlignment="1" pivotButton="0" quotePrefix="0" xfId="0">
      <alignment horizontal="left" vertical="center" wrapText="1"/>
    </xf>
    <xf numFmtId="0" fontId="6" fillId="4" borderId="1" applyAlignment="1" pivotButton="0" quotePrefix="0" xfId="0">
      <alignment horizontal="center" vertical="center" wrapText="1"/>
    </xf>
    <xf numFmtId="0" fontId="4" fillId="0" borderId="1" applyAlignment="1" pivotButton="0" quotePrefix="0" xfId="0">
      <alignment horizontal="center" vertical="center" wrapText="1"/>
    </xf>
    <xf numFmtId="4" fontId="5" fillId="0" borderId="1" applyAlignment="1" pivotButton="0" quotePrefix="0" xfId="0">
      <alignment horizontal="center" vertical="center" wrapText="1"/>
    </xf>
    <xf numFmtId="3" fontId="2" fillId="0" borderId="1" applyAlignment="1" pivotButton="0" quotePrefix="0" xfId="0">
      <alignment horizontal="center" vertical="center" wrapText="1"/>
    </xf>
    <xf numFmtId="175" fontId="5" fillId="0" borderId="1" applyAlignment="1" pivotButton="0" quotePrefix="0" xfId="0">
      <alignment horizontal="center" vertical="center" wrapText="1"/>
    </xf>
    <xf numFmtId="4" fontId="7" fillId="0" borderId="1" applyAlignment="1" pivotButton="0" quotePrefix="0" xfId="0">
      <alignment horizontal="center" vertical="center" wrapText="1"/>
    </xf>
    <xf numFmtId="168" fontId="5" fillId="0" borderId="1" applyAlignment="1" pivotButton="0" quotePrefix="0" xfId="0">
      <alignment horizontal="center" vertical="center" wrapText="1"/>
    </xf>
    <xf numFmtId="176" fontId="5" fillId="0" borderId="1" applyAlignment="1" pivotButton="0" quotePrefix="0" xfId="0">
      <alignment horizontal="center" vertical="center" wrapText="1"/>
    </xf>
    <xf numFmtId="178" fontId="5" fillId="0" borderId="1" applyAlignment="1" pivotButton="0" quotePrefix="0" xfId="0">
      <alignment horizontal="center" vertical="center" wrapText="1"/>
    </xf>
    <xf numFmtId="1" fontId="2" fillId="0" borderId="1" applyAlignment="1" pivotButton="0" quotePrefix="0" xfId="0">
      <alignment horizontal="center" vertical="center" wrapText="1"/>
    </xf>
    <xf numFmtId="169" fontId="5" fillId="0" borderId="1" applyAlignment="1" pivotButton="0" quotePrefix="0" xfId="0">
      <alignment horizontal="center" vertical="center" wrapText="1"/>
    </xf>
    <xf numFmtId="169" fontId="7" fillId="0" borderId="1" applyAlignment="1" pivotButton="0" quotePrefix="0" xfId="0">
      <alignment horizontal="center" vertical="center" wrapText="1"/>
    </xf>
    <xf numFmtId="170" fontId="5" fillId="0" borderId="1" applyAlignment="1" pivotButton="0" quotePrefix="0" xfId="0">
      <alignment horizontal="center" vertical="center" wrapText="1"/>
    </xf>
    <xf numFmtId="170" fontId="7" fillId="0" borderId="1" applyAlignment="1" pivotButton="0" quotePrefix="0" xfId="0">
      <alignment horizontal="center" vertical="center" wrapText="1"/>
    </xf>
    <xf numFmtId="171" fontId="5" fillId="0" borderId="1" applyAlignment="1" pivotButton="0" quotePrefix="0" xfId="0">
      <alignment horizontal="center" vertical="center" wrapText="1"/>
    </xf>
    <xf numFmtId="171" fontId="7" fillId="0" borderId="1" applyAlignment="1" pivotButton="0" quotePrefix="0" xfId="0">
      <alignment horizontal="center" vertical="center" wrapText="1"/>
    </xf>
    <xf numFmtId="0" fontId="0" fillId="4" borderId="1" pivotButton="0" quotePrefix="0" xfId="0"/>
    <xf numFmtId="4" fontId="6" fillId="4" borderId="1" applyAlignment="1" pivotButton="0" quotePrefix="0" xfId="0">
      <alignment horizontal="center" vertical="center" wrapText="1"/>
    </xf>
    <xf numFmtId="3" fontId="6" fillId="4" borderId="1" applyAlignment="1" pivotButton="0" quotePrefix="0" xfId="0">
      <alignment horizontal="center" vertical="center" wrapText="1"/>
    </xf>
    <xf numFmtId="176" fontId="6" fillId="4" borderId="1" applyAlignment="1" pivotButton="0" quotePrefix="0" xfId="0">
      <alignment horizontal="center" vertical="center" wrapText="1"/>
    </xf>
    <xf numFmtId="178" fontId="6" fillId="4" borderId="1" applyAlignment="1" pivotButton="0" quotePrefix="0" xfId="0">
      <alignment horizontal="center" vertical="center" wrapText="1"/>
    </xf>
    <xf numFmtId="0" fontId="3" fillId="2" borderId="0" pivotButton="0" quotePrefix="0" xfId="0"/>
    <xf numFmtId="0" fontId="5" fillId="0" borderId="1" applyAlignment="1" pivotButton="0" quotePrefix="0" xfId="0">
      <alignment horizontal="left" vertical="center" wrapText="1"/>
    </xf>
    <xf numFmtId="164" fontId="4" fillId="3" borderId="1" applyAlignment="1" pivotButton="0" quotePrefix="0" xfId="0">
      <alignment horizontal="center" vertical="center" wrapText="1"/>
    </xf>
    <xf numFmtId="0" fontId="2" fillId="0" borderId="0" applyAlignment="1" pivotButton="0" quotePrefix="0" xfId="0">
      <alignment horizontal="left" vertical="center" wrapText="1"/>
    </xf>
    <xf numFmtId="10" fontId="4" fillId="3" borderId="1" applyAlignment="1" pivotButton="0" quotePrefix="0" xfId="0">
      <alignment horizontal="center" vertical="center" wrapText="1"/>
    </xf>
    <xf numFmtId="165" fontId="4" fillId="3" borderId="1" applyAlignment="1" pivotButton="0" quotePrefix="0" xfId="0">
      <alignment horizontal="center" vertical="center" wrapText="1"/>
    </xf>
    <xf numFmtId="166" fontId="4" fillId="3" borderId="1" applyAlignment="1" pivotButton="0" quotePrefix="0" xfId="0">
      <alignment horizontal="center" vertical="center" wrapText="1"/>
    </xf>
    <xf numFmtId="4" fontId="4" fillId="3" borderId="1" applyAlignment="1" pivotButton="0" quotePrefix="0" xfId="0">
      <alignment horizontal="center" vertical="center" wrapText="1"/>
    </xf>
    <xf numFmtId="4" fontId="2" fillId="0" borderId="1" applyAlignment="1" pivotButton="0" quotePrefix="0" xfId="0">
      <alignment horizontal="center" vertical="center" wrapText="1"/>
    </xf>
    <xf numFmtId="167" fontId="5" fillId="0" borderId="1" applyAlignment="1" pivotButton="0" quotePrefix="0" xfId="0">
      <alignment horizontal="center" vertical="center" wrapText="1"/>
    </xf>
    <xf numFmtId="3" fontId="4" fillId="3" borderId="1" applyAlignment="1" pivotButton="0" quotePrefix="0" xfId="0">
      <alignment horizontal="center" vertical="center" wrapText="1"/>
    </xf>
    <xf numFmtId="168" fontId="4" fillId="3" borderId="1" applyAlignment="1" pivotButton="0" quotePrefix="0" xfId="0">
      <alignment horizontal="center" vertical="center" wrapText="1"/>
    </xf>
    <xf numFmtId="1" fontId="4" fillId="3" borderId="1" applyAlignment="1" pivotButton="0" quotePrefix="0" xfId="0">
      <alignment horizontal="center" vertical="center" wrapText="1"/>
    </xf>
    <xf numFmtId="2" fontId="4" fillId="3" borderId="1" applyAlignment="1" pivotButton="0" quotePrefix="0" xfId="0">
      <alignment horizontal="center" vertical="center" wrapText="1"/>
    </xf>
    <xf numFmtId="10" fontId="5" fillId="0" borderId="1" applyAlignment="1" pivotButton="0" quotePrefix="0" xfId="0">
      <alignment horizontal="center" vertical="center" wrapText="1"/>
    </xf>
    <xf numFmtId="168" fontId="7" fillId="0" borderId="1" applyAlignment="1" pivotButton="0" quotePrefix="0" xfId="0">
      <alignment horizontal="center" vertical="center" wrapText="1"/>
    </xf>
    <xf numFmtId="168" fontId="2" fillId="0" borderId="1" applyAlignment="1" pivotButton="0" quotePrefix="0" xfId="0">
      <alignment horizontal="center" vertical="center" wrapText="1"/>
    </xf>
    <xf numFmtId="9" fontId="2" fillId="0" borderId="1" applyAlignment="1" pivotButton="0" quotePrefix="0" xfId="0">
      <alignment horizontal="center" vertical="center" wrapText="1"/>
    </xf>
    <xf numFmtId="169" fontId="4" fillId="3" borderId="1" applyAlignment="1" pivotButton="0" quotePrefix="0" xfId="0">
      <alignment horizontal="center" vertical="center" wrapText="1"/>
    </xf>
    <xf numFmtId="169" fontId="2" fillId="0" borderId="1" applyAlignment="1" pivotButton="0" quotePrefix="0" xfId="0">
      <alignment horizontal="center" vertical="center" wrapText="1"/>
    </xf>
    <xf numFmtId="170" fontId="4" fillId="3" borderId="1" applyAlignment="1" pivotButton="0" quotePrefix="0" xfId="0">
      <alignment horizontal="center" vertical="center" wrapText="1"/>
    </xf>
    <xf numFmtId="170" fontId="2" fillId="0" borderId="1" applyAlignment="1" pivotButton="0" quotePrefix="0" xfId="0">
      <alignment horizontal="center" vertical="center" wrapText="1"/>
    </xf>
    <xf numFmtId="171" fontId="4" fillId="3" borderId="1" applyAlignment="1" pivotButton="0" quotePrefix="0" xfId="0">
      <alignment horizontal="center" vertical="center" wrapText="1"/>
    </xf>
    <xf numFmtId="171" fontId="2" fillId="0" borderId="1" applyAlignment="1" pivotButton="0" quotePrefix="0" xfId="0">
      <alignment horizontal="center" vertical="center" wrapText="1"/>
    </xf>
    <xf numFmtId="4" fontId="4" fillId="0" borderId="1" applyAlignment="1" pivotButton="0" quotePrefix="0" xfId="0">
      <alignment horizontal="center" vertical="center" wrapText="1"/>
    </xf>
    <xf numFmtId="173" fontId="4" fillId="3" borderId="1" applyAlignment="1" pivotButton="0" quotePrefix="0" xfId="0">
      <alignment horizontal="center" vertical="center" wrapText="1"/>
    </xf>
    <xf numFmtId="172" fontId="4" fillId="0" borderId="1" applyAlignment="1" pivotButton="0" quotePrefix="0" xfId="0">
      <alignment horizontal="center" vertical="center" wrapText="1"/>
    </xf>
    <xf numFmtId="174" fontId="4" fillId="0" borderId="1" applyAlignment="1" pivotButton="0" quotePrefix="0" xfId="0">
      <alignment horizontal="center" vertical="center" wrapText="1"/>
    </xf>
    <xf numFmtId="168" fontId="4" fillId="0" borderId="1" applyAlignment="1" pivotButton="0" quotePrefix="0" xfId="0">
      <alignment horizontal="center" vertical="center" wrapText="1"/>
    </xf>
    <xf numFmtId="10" fontId="4" fillId="0" borderId="1" applyAlignment="1" pivotButton="0" quotePrefix="0" xfId="0">
      <alignment horizontal="center" vertical="center" wrapText="1"/>
    </xf>
    <xf numFmtId="0" fontId="5" fillId="0" borderId="1" applyAlignment="1" pivotButton="0" quotePrefix="0" xfId="0">
      <alignment horizontal="center" vertical="center" wrapText="1"/>
    </xf>
    <xf numFmtId="4" fontId="5" fillId="3" borderId="1" applyAlignment="1" pivotButton="0" quotePrefix="0" xfId="0">
      <alignment horizontal="center" vertical="center" wrapText="1"/>
    </xf>
    <xf numFmtId="175" fontId="6" fillId="4" borderId="1" applyAlignment="1" pivotButton="0" quotePrefix="0" xfId="0">
      <alignment horizontal="center" vertical="center" wrapText="1"/>
    </xf>
    <xf numFmtId="168" fontId="6" fillId="4" borderId="1" applyAlignment="1" pivotButton="0" quotePrefix="0" xfId="0">
      <alignment horizontal="center" vertical="center" wrapText="1"/>
    </xf>
    <xf numFmtId="177" fontId="7" fillId="0" borderId="1" applyAlignment="1" pivotButton="0" quotePrefix="0" xfId="0">
      <alignment horizontal="center" vertical="center" wrapText="1"/>
    </xf>
    <xf numFmtId="169" fontId="4" fillId="0" borderId="1" applyAlignment="1" pivotButton="0" quotePrefix="0" xfId="0">
      <alignment horizontal="center" vertical="center" wrapText="1"/>
    </xf>
    <xf numFmtId="169" fontId="5" fillId="3" borderId="1" applyAlignment="1" pivotButton="0" quotePrefix="0" xfId="0">
      <alignment horizontal="center" vertical="center" wrapText="1"/>
    </xf>
    <xf numFmtId="169" fontId="6" fillId="4" borderId="1" applyAlignment="1" pivotButton="0" quotePrefix="0" xfId="0">
      <alignment horizontal="center" vertical="center" wrapText="1"/>
    </xf>
    <xf numFmtId="170" fontId="4" fillId="0" borderId="1" applyAlignment="1" pivotButton="0" quotePrefix="0" xfId="0">
      <alignment horizontal="center" vertical="center" wrapText="1"/>
    </xf>
    <xf numFmtId="170" fontId="5" fillId="3" borderId="1" applyAlignment="1" pivotButton="0" quotePrefix="0" xfId="0">
      <alignment horizontal="center" vertical="center" wrapText="1"/>
    </xf>
    <xf numFmtId="170" fontId="6" fillId="4" borderId="1" applyAlignment="1" pivotButton="0" quotePrefix="0" xfId="0">
      <alignment horizontal="center" vertical="center" wrapText="1"/>
    </xf>
    <xf numFmtId="171" fontId="4" fillId="0" borderId="1" applyAlignment="1" pivotButton="0" quotePrefix="0" xfId="0">
      <alignment horizontal="center" vertical="center" wrapText="1"/>
    </xf>
    <xf numFmtId="171" fontId="5" fillId="3" borderId="1" applyAlignment="1" pivotButton="0" quotePrefix="0" xfId="0">
      <alignment horizontal="center" vertical="center" wrapText="1"/>
    </xf>
    <xf numFmtId="171" fontId="6" fillId="4" borderId="1" applyAlignment="1" pivotButton="0" quotePrefix="0" xfId="0">
      <alignment horizontal="center" vertical="center" wrapText="1"/>
    </xf>
    <xf numFmtId="172" fontId="5" fillId="0" borderId="1" applyAlignment="1" pivotButton="0" quotePrefix="0" xfId="0">
      <alignment horizontal="center" vertical="center" wrapText="1"/>
    </xf>
    <xf numFmtId="179" fontId="5" fillId="0" borderId="1" applyAlignment="1" pivotButton="0" quotePrefix="0" xfId="0">
      <alignment horizontal="center" vertical="center" wrapText="1"/>
    </xf>
    <xf numFmtId="0" fontId="4" fillId="0" borderId="1" applyAlignment="1" pivotButton="0" quotePrefix="0" xfId="0">
      <alignment horizontal="left" vertical="center" wrapText="1"/>
    </xf>
    <xf numFmtId="9" fontId="5" fillId="0" borderId="1" applyAlignment="1" pivotButton="0" quotePrefix="0" xfId="0">
      <alignment horizontal="center" vertical="center" wrapText="1"/>
    </xf>
  </cellXfs>
  <cellStyles count="1">
    <cellStyle name="Normal" xfId="0" builtinId="0" hidden="0"/>
  </cellStyles>
  <dxfs count="4">
    <dxf>
      <fill>
        <patternFill patternType="solid">
          <fgColor rgb="00F9E3E1"/>
        </patternFill>
      </fill>
    </dxf>
    <dxf>
      <fill>
        <patternFill patternType="solid">
          <fgColor rgb="00E3F1E8"/>
        </patternFill>
      </fill>
    </dxf>
    <dxf>
      <fill>
        <patternFill patternType="solid">
          <fgColor rgb="00FBF0DA"/>
        </patternFill>
      </fill>
    </dxf>
    <dxf>
      <font>
        <color rgb="00B3261E"/>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30"/>
  <sheetViews>
    <sheetView showGridLines="0" workbookViewId="0">
      <selection activeCell="A1" sqref="A1"/>
    </sheetView>
  </sheetViews>
  <sheetFormatPr baseColWidth="8" defaultRowHeight="15"/>
  <cols>
    <col width="3" customWidth="1" min="1" max="1"/>
    <col width="108" customWidth="1" min="2" max="2"/>
  </cols>
  <sheetData>
    <row r="2">
      <c r="B2" s="1" t="inlineStr">
        <is>
          <t>Strategie de descente, version 2026</t>
        </is>
      </c>
    </row>
    <row r="3">
      <c r="B3" s="2" t="inlineStr">
        <is>
          <t>Reconstruction du tableau d'origine sur les prix et la volatilite d'aujourd'hui. L'ancien fichier n'a pas ete modifie.</t>
        </is>
      </c>
    </row>
    <row r="6" ht="22" customHeight="1">
      <c r="B6" s="3" t="inlineStr">
        <is>
          <t>CE QUI A CHANGE, ET POURQUOI</t>
        </is>
      </c>
    </row>
    <row r="7">
      <c r="B7" s="4" t="inlineStr">
        <is>
          <t>1. Les prix de reference etaient perimes.</t>
        </is>
      </c>
    </row>
    <row r="8" ht="46" customHeight="1">
      <c r="B8" s="5" t="inlineStr">
        <is>
          <t>Sept de vos neuf pieces ont perdu plus de la moitie de leur valeur depuis la derniere mise a jour, deux d'entre elles 90 %. Deux ont monte. Les references du classeur sont desormais les prix reels du jour, releves sur Binance. La feuille Reglages les affiche a cote des anciennes.</t>
        </is>
      </c>
    </row>
    <row r="9">
      <c r="B9" s="4" t="inlineStr">
        <is>
          <t>2. Les paliers sont en pourcentage, plus en valeur absolue.</t>
        </is>
      </c>
    </row>
    <row r="10" ht="46" customHeight="1">
      <c r="B10" s="5" t="inlineStr">
        <is>
          <t>L'ancien tableau descendait par pas fixes (0,15 pour XRP). Sur une piece a 0,21 aujourd'hui, un pas de 0,15 n'a plus de sens, et l'ancienne feuille finissait d'ailleurs par afficher des prix negatifs. Tout est maintenant relatif au prix de reference, donc valable a n'importe quel niveau de cours.</t>
        </is>
      </c>
    </row>
    <row r="11">
      <c r="B11" s="4" t="inlineStr">
        <is>
          <t>3. Les echelles sont plus profondes et plus nombreuses.</t>
        </is>
      </c>
    </row>
    <row r="12" ht="46" customHeight="1">
      <c r="B12" s="5" t="inlineStr">
        <is>
          <t>Vos echelles couvraient en moyenne 8 % de baisse, celle de XRP seulement 4,5 %. J'ai mesure sur un an la profondeur reelle des episodes de baisse de chaque piece, et dimensionne chaque echelle sur le troisieme quartile : trois episodes sur quatre sont desormais absorbes entierement. Dix a douze paliers au lieu de cinq.</t>
        </is>
      </c>
    </row>
    <row r="13">
      <c r="B13" s="4" t="inlineStr">
        <is>
          <t>4. La progression des mises est plus douce.</t>
        </is>
      </c>
    </row>
    <row r="14" ht="46" customHeight="1">
      <c r="B14" s="5" t="inlineStr">
        <is>
          <t>Vous doubliez, voire multipliiez par 2,5 a chaque palier. La derniere mise pesait alors plus de la moitie du budget. Le classeur utilise 1,8 par defaut : le rebond necessaire passe de 4 a 5,5 %, mais l'echelle va deux fois plus profond pour le meme argent. Le reglage reste modifiable.</t>
        </is>
      </c>
    </row>
    <row r="15">
      <c r="B15" s="4" t="inlineStr">
        <is>
          <t>5. Les frais sont dans l'objectif.</t>
        </is>
      </c>
    </row>
    <row r="16" ht="46" customHeight="1">
      <c r="B16" s="5" t="inlineStr">
        <is>
          <t>Votre 2 % etait un objectif brut. Cinq achats et une vente a 0,1 % coutent environ 0,2 %, soit un dixieme du gain. Le prix de revente calcule ici vous laisse 2 % NET dans la poche.</t>
        </is>
      </c>
    </row>
    <row r="17">
      <c r="B17" s="4" t="inlineStr">
        <is>
          <t>6. Un budget par piece et un budget global.</t>
        </is>
      </c>
    </row>
    <row r="18" ht="46" customHeight="1">
      <c r="B18" s="5" t="inlineStr">
        <is>
          <t>Rien, dans l'ancien tableau, n'empechait les neuf echelles de se remplir le meme jour. Or vos pieces montent et descendent ensemble : la correlation mesuree entre elles est de 0,80. Neuf echelles ne sont donc pas neuf paris, c'est un seul pari repete neuf fois. La feuille Risque montre ce que couterait un remplissage simultane.</t>
        </is>
      </c>
    </row>
    <row r="19">
      <c r="B19" s="4" t="inlineStr">
        <is>
          <t>7. Une regle d'abandon, ecrite d'avance.</t>
        </is>
      </c>
    </row>
    <row r="20" ht="46" customHeight="1">
      <c r="B20" s="5" t="inlineStr">
        <is>
          <t>C'est ce qui manquait le plus. Quand le cours passe sous le dernier palier, l'ancien tableau n'avait plus rien a dire. Chaque feuille comporte maintenant un seuil d'abandon et un compteur de jours, et le tableau de bord passe au rouge quand il est franchi. La regle se decide a froid, pas le jour ou cela arrive.</t>
        </is>
      </c>
    </row>
    <row r="22" ht="22" customHeight="1">
      <c r="B22" s="3" t="inlineStr">
        <is>
          <t>COMMENT S'EN SERVIR</t>
        </is>
      </c>
    </row>
    <row r="23">
      <c r="B23" s="4" t="inlineStr">
        <is>
          <t>Les cellules sur fond jaune sont les votres. Tout le reste est calcule.</t>
        </is>
      </c>
    </row>
    <row r="24" ht="46" customHeight="1">
      <c r="B24" s="5" t="inlineStr">
        <is>
          <t>Feuille Reglages : le budget de chaque piece, la profondeur, le nombre de paliers, la progression. Mettez le prix de reference a jour quand vous demarrez une nouvelle descente.</t>
        </is>
      </c>
    </row>
    <row r="25" ht="46" customHeight="1">
      <c r="B25" s="5" t="inlineStr">
        <is>
          <t>Feuille de chaque piece : le prix cible de chaque palier et la mise correspondante sont calcules. Quand un achat est passe, mettez 1 dans la colonne Fait, le prix reellement paye et le montant reellement investi. Le prix moyen, le prix de revente et le rebond necessaire se recalculent seuls.</t>
        </is>
      </c>
    </row>
    <row r="26" ht="46" customHeight="1">
      <c r="B26" s="5" t="inlineStr">
        <is>
          <t>Feuille Tableau de bord : l'etat des neuf pieces d'un coup d'oeil, et le total engage.</t>
        </is>
      </c>
    </row>
    <row r="27" ht="46" customHeight="1">
      <c r="B27" s="5" t="inlineStr">
        <is>
          <t>Feuille Risque : ce que vous perdez si le marche continue de baisser sous vos echelles.</t>
        </is>
      </c>
    </row>
    <row r="29" ht="22" customHeight="1">
      <c r="B29" s="3" t="inlineStr">
        <is>
          <t>CE QUE CE CLASSEUR NE CORRIGE PAS</t>
        </is>
      </c>
    </row>
    <row r="30" ht="46" customHeight="1">
      <c r="B30" s="5" t="inlineStr">
        <is>
          <t>La strategie gagne souvent et perd rarement, mais elle perd gros quand elle perd. Un objectif de 2 % repete ne compense pas une piece qui ne revient jamais. Sur vos neuf pieces, l'historique d'un an montre des baisses maximales de 24 % a 85 % selon la piece. Aucun reglage de tableau ne protege de cela : seuls le budget global et la regle d'abandon le font.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4"/>
  <sheetViews>
    <sheetView showGridLines="0" workbookViewId="0">
      <pane ySplit="4" topLeftCell="A5" activePane="bottomLeft" state="frozen"/>
      <selection pane="bottomLeft" activeCell="A1" sqref="A1"/>
    </sheetView>
  </sheetViews>
  <sheetFormatPr baseColWidth="8" defaultRowHeight="15"/>
  <cols>
    <col width="10" customWidth="1" min="1" max="1"/>
    <col width="13" customWidth="1" min="2" max="2"/>
    <col width="12" customWidth="1" min="3" max="3"/>
    <col width="11" customWidth="1" min="4" max="4"/>
    <col width="13" customWidth="1" min="5" max="5"/>
    <col width="13" customWidth="1" min="6" max="6"/>
    <col width="13" customWidth="1" min="7" max="7"/>
    <col width="10" customWidth="1" min="8" max="8"/>
    <col width="12" customWidth="1" min="9" max="9"/>
    <col width="11" customWidth="1" min="10" max="10"/>
    <col width="8" customWidth="1" min="11" max="11"/>
    <col width="22" customWidth="1" min="12" max="12"/>
  </cols>
  <sheetData>
    <row r="1">
      <c r="A1" s="1" t="inlineStr">
        <is>
          <t>Tableau de bord</t>
        </is>
      </c>
    </row>
    <row r="2">
      <c r="A2" s="2" t="inlineStr">
        <is>
          <t>Etat des neuf descentes. Mettez a jour le prix actuel dans chaque feuille.</t>
        </is>
      </c>
    </row>
    <row r="4" ht="34" customHeight="1">
      <c r="A4" s="6" t="inlineStr">
        <is>
          <t>Crypto</t>
        </is>
      </c>
      <c r="B4" s="6" t="inlineStr">
        <is>
          <t>Prix actuel</t>
        </is>
      </c>
      <c r="C4" s="6" t="inlineStr">
        <is>
          <t>Investi
(EUR)</t>
        </is>
      </c>
      <c r="D4" s="6" t="inlineStr">
        <is>
          <t>Budget
prevu</t>
        </is>
      </c>
      <c r="E4" s="6" t="inlineStr">
        <is>
          <t>Unites</t>
        </is>
      </c>
      <c r="F4" s="6" t="inlineStr">
        <is>
          <t>Prix de
revient</t>
        </is>
      </c>
      <c r="G4" s="6" t="inlineStr">
        <is>
          <t>Prix de
revente</t>
        </is>
      </c>
      <c r="H4" s="6" t="inlineStr">
        <is>
          <t>Rebond
requis</t>
        </is>
      </c>
      <c r="I4" s="6" t="inlineStr">
        <is>
          <t>P&amp;L latent</t>
        </is>
      </c>
      <c r="J4" s="6" t="inlineStr">
        <is>
          <t>Gain si
revendu</t>
        </is>
      </c>
      <c r="K4" s="6" t="inlineStr">
        <is>
          <t>Jours</t>
        </is>
      </c>
      <c r="L4" s="6" t="inlineStr">
        <is>
          <t>Etat</t>
        </is>
      </c>
    </row>
    <row r="5">
      <c r="A5" s="7" t="inlineStr">
        <is>
          <t>AAVE</t>
        </is>
      </c>
      <c r="B5" s="8">
        <f>'AAVE'!B9</f>
        <v/>
      </c>
      <c r="C5" s="8">
        <f>'AAVE'!F27</f>
        <v/>
      </c>
      <c r="D5" s="9">
        <f>'AAVE'!C27</f>
        <v/>
      </c>
      <c r="E5" s="10">
        <f>'AAVE'!G27</f>
        <v/>
      </c>
      <c r="F5" s="8">
        <f>'AAVE'!J27</f>
        <v/>
      </c>
      <c r="G5" s="11">
        <f>'AAVE'!K27</f>
        <v/>
      </c>
      <c r="H5" s="12">
        <f>'AAVE'!N27</f>
        <v/>
      </c>
      <c r="I5" s="13">
        <f>'AAVE'!M27</f>
        <v/>
      </c>
      <c r="J5" s="14">
        <f>'AAVE'!E29</f>
        <v/>
      </c>
      <c r="K5" s="15">
        <f>'AAVE'!E5</f>
        <v/>
      </c>
      <c r="L5" s="7">
        <f>'AAVE'!E30</f>
        <v/>
      </c>
    </row>
    <row r="6">
      <c r="A6" s="7" t="inlineStr">
        <is>
          <t>ADA</t>
        </is>
      </c>
      <c r="B6" s="16">
        <f>'ADA'!B9</f>
        <v/>
      </c>
      <c r="C6" s="8">
        <f>'ADA'!F27</f>
        <v/>
      </c>
      <c r="D6" s="9">
        <f>'ADA'!C27</f>
        <v/>
      </c>
      <c r="E6" s="10">
        <f>'ADA'!G27</f>
        <v/>
      </c>
      <c r="F6" s="16">
        <f>'ADA'!J27</f>
        <v/>
      </c>
      <c r="G6" s="17">
        <f>'ADA'!K27</f>
        <v/>
      </c>
      <c r="H6" s="12">
        <f>'ADA'!N27</f>
        <v/>
      </c>
      <c r="I6" s="13">
        <f>'ADA'!M27</f>
        <v/>
      </c>
      <c r="J6" s="14">
        <f>'ADA'!E29</f>
        <v/>
      </c>
      <c r="K6" s="15">
        <f>'ADA'!E5</f>
        <v/>
      </c>
      <c r="L6" s="7">
        <f>'ADA'!E30</f>
        <v/>
      </c>
    </row>
    <row r="7">
      <c r="A7" s="7" t="inlineStr">
        <is>
          <t>BCH</t>
        </is>
      </c>
      <c r="B7" s="8">
        <f>'BCH'!B9</f>
        <v/>
      </c>
      <c r="C7" s="8">
        <f>'BCH'!F27</f>
        <v/>
      </c>
      <c r="D7" s="9">
        <f>'BCH'!C27</f>
        <v/>
      </c>
      <c r="E7" s="10">
        <f>'BCH'!G27</f>
        <v/>
      </c>
      <c r="F7" s="8">
        <f>'BCH'!J27</f>
        <v/>
      </c>
      <c r="G7" s="11">
        <f>'BCH'!K27</f>
        <v/>
      </c>
      <c r="H7" s="12">
        <f>'BCH'!N27</f>
        <v/>
      </c>
      <c r="I7" s="13">
        <f>'BCH'!M27</f>
        <v/>
      </c>
      <c r="J7" s="14">
        <f>'BCH'!E29</f>
        <v/>
      </c>
      <c r="K7" s="15">
        <f>'BCH'!E5</f>
        <v/>
      </c>
      <c r="L7" s="7">
        <f>'BCH'!E30</f>
        <v/>
      </c>
    </row>
    <row r="8">
      <c r="A8" s="7" t="inlineStr">
        <is>
          <t>DGB</t>
        </is>
      </c>
      <c r="B8" s="18">
        <f>'DGB'!B9</f>
        <v/>
      </c>
      <c r="C8" s="8">
        <f>'DGB'!F27</f>
        <v/>
      </c>
      <c r="D8" s="9">
        <f>'DGB'!C27</f>
        <v/>
      </c>
      <c r="E8" s="10">
        <f>'DGB'!G27</f>
        <v/>
      </c>
      <c r="F8" s="18">
        <f>'DGB'!J27</f>
        <v/>
      </c>
      <c r="G8" s="19">
        <f>'DGB'!K27</f>
        <v/>
      </c>
      <c r="H8" s="12">
        <f>'DGB'!N27</f>
        <v/>
      </c>
      <c r="I8" s="13">
        <f>'DGB'!M27</f>
        <v/>
      </c>
      <c r="J8" s="14">
        <f>'DGB'!E29</f>
        <v/>
      </c>
      <c r="K8" s="15">
        <f>'DGB'!E5</f>
        <v/>
      </c>
      <c r="L8" s="7">
        <f>'DGB'!E30</f>
        <v/>
      </c>
    </row>
    <row r="9">
      <c r="A9" s="7" t="inlineStr">
        <is>
          <t>DOGE</t>
        </is>
      </c>
      <c r="B9" s="16">
        <f>'DOGE'!B9</f>
        <v/>
      </c>
      <c r="C9" s="8">
        <f>'DOGE'!F27</f>
        <v/>
      </c>
      <c r="D9" s="9">
        <f>'DOGE'!C27</f>
        <v/>
      </c>
      <c r="E9" s="10">
        <f>'DOGE'!G27</f>
        <v/>
      </c>
      <c r="F9" s="16">
        <f>'DOGE'!J27</f>
        <v/>
      </c>
      <c r="G9" s="17">
        <f>'DOGE'!K27</f>
        <v/>
      </c>
      <c r="H9" s="12">
        <f>'DOGE'!N27</f>
        <v/>
      </c>
      <c r="I9" s="13">
        <f>'DOGE'!M27</f>
        <v/>
      </c>
      <c r="J9" s="14">
        <f>'DOGE'!E29</f>
        <v/>
      </c>
      <c r="K9" s="15">
        <f>'DOGE'!E5</f>
        <v/>
      </c>
      <c r="L9" s="7">
        <f>'DOGE'!E30</f>
        <v/>
      </c>
    </row>
    <row r="10">
      <c r="A10" s="7" t="inlineStr">
        <is>
          <t>ETH</t>
        </is>
      </c>
      <c r="B10" s="8">
        <f>'ETH'!B9</f>
        <v/>
      </c>
      <c r="C10" s="8">
        <f>'ETH'!F27</f>
        <v/>
      </c>
      <c r="D10" s="9">
        <f>'ETH'!C27</f>
        <v/>
      </c>
      <c r="E10" s="10">
        <f>'ETH'!G27</f>
        <v/>
      </c>
      <c r="F10" s="8">
        <f>'ETH'!J27</f>
        <v/>
      </c>
      <c r="G10" s="11">
        <f>'ETH'!K27</f>
        <v/>
      </c>
      <c r="H10" s="12">
        <f>'ETH'!N27</f>
        <v/>
      </c>
      <c r="I10" s="13">
        <f>'ETH'!M27</f>
        <v/>
      </c>
      <c r="J10" s="14">
        <f>'ETH'!E29</f>
        <v/>
      </c>
      <c r="K10" s="15">
        <f>'ETH'!E5</f>
        <v/>
      </c>
      <c r="L10" s="7">
        <f>'ETH'!E30</f>
        <v/>
      </c>
    </row>
    <row r="11">
      <c r="A11" s="7" t="inlineStr">
        <is>
          <t>TRX</t>
        </is>
      </c>
      <c r="B11" s="16">
        <f>'TRX'!B9</f>
        <v/>
      </c>
      <c r="C11" s="8">
        <f>'TRX'!F27</f>
        <v/>
      </c>
      <c r="D11" s="9">
        <f>'TRX'!C27</f>
        <v/>
      </c>
      <c r="E11" s="10">
        <f>'TRX'!G27</f>
        <v/>
      </c>
      <c r="F11" s="16">
        <f>'TRX'!J27</f>
        <v/>
      </c>
      <c r="G11" s="17">
        <f>'TRX'!K27</f>
        <v/>
      </c>
      <c r="H11" s="12">
        <f>'TRX'!N27</f>
        <v/>
      </c>
      <c r="I11" s="13">
        <f>'TRX'!M27</f>
        <v/>
      </c>
      <c r="J11" s="14">
        <f>'TRX'!E29</f>
        <v/>
      </c>
      <c r="K11" s="15">
        <f>'TRX'!E5</f>
        <v/>
      </c>
      <c r="L11" s="7">
        <f>'TRX'!E30</f>
        <v/>
      </c>
    </row>
    <row r="12">
      <c r="A12" s="7" t="inlineStr">
        <is>
          <t>UNI</t>
        </is>
      </c>
      <c r="B12" s="20">
        <f>'UNI'!B9</f>
        <v/>
      </c>
      <c r="C12" s="8">
        <f>'UNI'!F27</f>
        <v/>
      </c>
      <c r="D12" s="9">
        <f>'UNI'!C27</f>
        <v/>
      </c>
      <c r="E12" s="10">
        <f>'UNI'!G27</f>
        <v/>
      </c>
      <c r="F12" s="20">
        <f>'UNI'!J27</f>
        <v/>
      </c>
      <c r="G12" s="21">
        <f>'UNI'!K27</f>
        <v/>
      </c>
      <c r="H12" s="12">
        <f>'UNI'!N27</f>
        <v/>
      </c>
      <c r="I12" s="13">
        <f>'UNI'!M27</f>
        <v/>
      </c>
      <c r="J12" s="14">
        <f>'UNI'!E29</f>
        <v/>
      </c>
      <c r="K12" s="15">
        <f>'UNI'!E5</f>
        <v/>
      </c>
      <c r="L12" s="7">
        <f>'UNI'!E30</f>
        <v/>
      </c>
    </row>
    <row r="13">
      <c r="A13" s="7" t="inlineStr">
        <is>
          <t>XRP</t>
        </is>
      </c>
      <c r="B13" s="20">
        <f>'XRP'!B9</f>
        <v/>
      </c>
      <c r="C13" s="8">
        <f>'XRP'!F27</f>
        <v/>
      </c>
      <c r="D13" s="9">
        <f>'XRP'!C27</f>
        <v/>
      </c>
      <c r="E13" s="10">
        <f>'XRP'!G27</f>
        <v/>
      </c>
      <c r="F13" s="20">
        <f>'XRP'!J27</f>
        <v/>
      </c>
      <c r="G13" s="21">
        <f>'XRP'!K27</f>
        <v/>
      </c>
      <c r="H13" s="12">
        <f>'XRP'!N27</f>
        <v/>
      </c>
      <c r="I13" s="13">
        <f>'XRP'!M27</f>
        <v/>
      </c>
      <c r="J13" s="14">
        <f>'XRP'!E29</f>
        <v/>
      </c>
      <c r="K13" s="15">
        <f>'XRP'!E5</f>
        <v/>
      </c>
      <c r="L13" s="7">
        <f>'XRP'!E30</f>
        <v/>
      </c>
    </row>
    <row r="14">
      <c r="A14" s="6" t="inlineStr">
        <is>
          <t>TOTAL</t>
        </is>
      </c>
      <c r="B14" s="22" t="n"/>
      <c r="C14" s="23">
        <f>SUM(C5:C13)</f>
        <v/>
      </c>
      <c r="D14" s="24">
        <f>SUM(D5:D13)</f>
        <v/>
      </c>
      <c r="E14" s="22" t="n"/>
      <c r="F14" s="22" t="n"/>
      <c r="G14" s="22" t="n"/>
      <c r="H14" s="22" t="n"/>
      <c r="I14" s="25">
        <f>SUM(I5:I13)</f>
        <v/>
      </c>
      <c r="J14" s="26">
        <f>SUM(J5:J13)</f>
        <v/>
      </c>
      <c r="K14" s="22" t="n"/>
      <c r="L14" s="22" t="n"/>
    </row>
  </sheetData>
  <conditionalFormatting sqref="L5:L13">
    <cfRule type="expression" priority="1" dxfId="0">
      <formula>OR(LEFT(L5,7)="ABANDON",LEFT(L5,7)="BLOQUEE")</formula>
    </cfRule>
    <cfRule type="expression" priority="2" dxfId="1">
      <formula>L5="REVENDRE MAINTENANT"</formula>
    </cfRule>
    <cfRule type="expression" priority="3" dxfId="2">
      <formula>L5="echelle epuisee"</formula>
    </cfRule>
  </conditionalFormatting>
  <conditionalFormatting sqref="I5:I14">
    <cfRule type="cellIs" priority="4" operator="lessThan" dxfId="3">
      <formula>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3"/>
  <sheetViews>
    <sheetView showGridLines="0" workbookViewId="0">
      <pane ySplit="12" topLeftCell="A13" activePane="bottomLeft" state="frozen"/>
      <selection pane="bottomLeft" activeCell="A1" sqref="A1"/>
    </sheetView>
  </sheetViews>
  <sheetFormatPr baseColWidth="8" defaultRowHeight="15"/>
  <cols>
    <col width="10" customWidth="1" min="1" max="1"/>
    <col width="16" customWidth="1" min="2" max="2"/>
    <col width="12" customWidth="1" min="3" max="3"/>
    <col width="9" customWidth="1" min="4" max="4"/>
    <col width="13" customWidth="1" min="5" max="5"/>
    <col width="12" customWidth="1" min="6" max="6"/>
    <col width="10" customWidth="1" min="7" max="7"/>
    <col width="12" customWidth="1" min="8" max="8"/>
    <col width="10" customWidth="1" min="9" max="9"/>
    <col width="14" customWidth="1" min="10" max="10"/>
    <col width="14" customWidth="1" min="11" max="11"/>
    <col width="12" customWidth="1" min="12" max="12"/>
    <col width="12" customWidth="1" min="13" max="13"/>
  </cols>
  <sheetData>
    <row r="1">
      <c r="A1" s="1" t="inlineStr">
        <is>
          <t>Reglages</t>
        </is>
      </c>
    </row>
    <row r="2">
      <c r="A2" s="2" t="inlineStr">
        <is>
          <t>Les cellules jaunes sont modifiables. Tout le classeur en depend.</t>
        </is>
      </c>
    </row>
    <row r="4">
      <c r="A4" s="27" t="inlineStr">
        <is>
          <t>Reglages generaux</t>
        </is>
      </c>
    </row>
    <row r="5">
      <c r="A5" s="28" t="inlineStr">
        <is>
          <t>Frais Binance par ordre</t>
        </is>
      </c>
      <c r="B5" s="29" t="n">
        <v>0.001</v>
      </c>
      <c r="C5" s="30" t="inlineStr">
        <is>
          <t>0,1 % au comptant. Comptez 5 achats et 1 vente par descente.</t>
        </is>
      </c>
    </row>
    <row r="6">
      <c r="A6" s="28" t="inlineStr">
        <is>
          <t>Objectif de gain NET a la revente</t>
        </is>
      </c>
      <c r="B6" s="31" t="n">
        <v>0.02</v>
      </c>
      <c r="C6" s="30" t="inlineStr">
        <is>
          <t>Net de frais. Le prix de revente en tient compte.</t>
        </is>
      </c>
    </row>
    <row r="7">
      <c r="A7" s="28" t="inlineStr">
        <is>
          <t>Capital total que vous acceptez d'engager</t>
        </is>
      </c>
      <c r="B7" s="32" t="n">
        <v>20000</v>
      </c>
      <c r="C7" s="30" t="inlineStr">
        <is>
          <t>Plafond global. La feuille Risque compare la somme des budgets a ce plafond.</t>
        </is>
      </c>
    </row>
    <row r="8">
      <c r="A8" s="28" t="inlineStr">
        <is>
          <t>Jours avant de declarer une descente bloquee</t>
        </is>
      </c>
      <c r="B8" s="33" t="n">
        <v>30</v>
      </c>
      <c r="C8" s="30" t="inlineStr">
        <is>
          <t>Au-dela, le tableau de bord signale la ligne.</t>
        </is>
      </c>
    </row>
    <row r="11">
      <c r="A11" s="27" t="inlineStr">
        <is>
          <t>Reglages par crypto</t>
        </is>
      </c>
    </row>
    <row r="12" ht="34" customHeight="1">
      <c r="A12" s="6" t="inlineStr">
        <is>
          <t>Crypto</t>
        </is>
      </c>
      <c r="B12" s="6" t="inlineStr">
        <is>
          <t>Prix de reference
(a mettre a jour)</t>
        </is>
      </c>
      <c r="C12" s="6" t="inlineStr">
        <is>
          <t>Ancien prix
du tableau</t>
        </is>
      </c>
      <c r="D12" s="6" t="inlineStr">
        <is>
          <t>Ecart</t>
        </is>
      </c>
      <c r="E12" s="6" t="inlineStr">
        <is>
          <t>Budget alloue
(EUR)</t>
        </is>
      </c>
      <c r="F12" s="6" t="inlineStr">
        <is>
          <t>Profondeur
de l'echelle</t>
        </is>
      </c>
      <c r="G12" s="6" t="inlineStr">
        <is>
          <t>Nombre
de paliers</t>
        </is>
      </c>
      <c r="H12" s="6" t="inlineStr">
        <is>
          <t>Progression
des mises</t>
        </is>
      </c>
      <c r="I12" s="6" t="inlineStr">
        <is>
          <t>Pas entre
paliers</t>
        </is>
      </c>
      <c r="J12" s="6" t="inlineStr">
        <is>
          <t>Dernier palier</t>
        </is>
      </c>
      <c r="K12" s="6" t="inlineStr">
        <is>
          <t>Rebond requis
depuis le bas</t>
        </is>
      </c>
      <c r="L12" s="6" t="inlineStr">
        <is>
          <t>Baisse p75
mesuree</t>
        </is>
      </c>
      <c r="M12" s="6" t="inlineStr">
        <is>
          <t>Pire baisse
sur 1 an</t>
        </is>
      </c>
    </row>
    <row r="13">
      <c r="A13" s="7" t="inlineStr">
        <is>
          <t>AAVE</t>
        </is>
      </c>
      <c r="B13" s="34" t="n">
        <v>133.75</v>
      </c>
      <c r="C13" s="35" t="n">
        <v>300</v>
      </c>
      <c r="D13" s="36">
        <f>B13/C13-1</f>
        <v/>
      </c>
      <c r="E13" s="37" t="n">
        <v>1500</v>
      </c>
      <c r="F13" s="38" t="n">
        <v>0.146</v>
      </c>
      <c r="G13" s="39" t="n">
        <v>10</v>
      </c>
      <c r="H13" s="40" t="n">
        <v>1.8</v>
      </c>
      <c r="I13" s="41">
        <f>F13/(G13-1)</f>
        <v/>
      </c>
      <c r="J13" s="8">
        <f>B13*(1-F13)</f>
        <v/>
      </c>
      <c r="K13" s="42">
        <f>SUMPRODUCT($H13^(ROW(INDIRECT("1:"&amp;$G13))-1))/((1-$B$5)*SUMPRODUCT($H13^(ROW(INDIRECT("1:"&amp;$G13))-1)/($B13*(1-$I13*(ROW(INDIRECT("1:"&amp;$G13))-1)))))*(1+$B$6)/(1-$B$5)/$J13-1</f>
        <v/>
      </c>
      <c r="L13" s="43" t="n">
        <v>0.1464</v>
      </c>
      <c r="M13" s="44" t="n">
        <v>0.8202</v>
      </c>
    </row>
    <row r="14">
      <c r="A14" s="7" t="inlineStr">
        <is>
          <t>ADA</t>
        </is>
      </c>
      <c r="B14" s="45" t="n">
        <v>0.2173</v>
      </c>
      <c r="C14" s="46" t="n">
        <v>2.5</v>
      </c>
      <c r="D14" s="36">
        <f>B14/C14-1</f>
        <v/>
      </c>
      <c r="E14" s="37" t="n">
        <v>1500</v>
      </c>
      <c r="F14" s="38" t="n">
        <v>0.114</v>
      </c>
      <c r="G14" s="39" t="n">
        <v>10</v>
      </c>
      <c r="H14" s="40" t="n">
        <v>1.8</v>
      </c>
      <c r="I14" s="41">
        <f>F14/(G14-1)</f>
        <v/>
      </c>
      <c r="J14" s="16">
        <f>B14*(1-F14)</f>
        <v/>
      </c>
      <c r="K14" s="42">
        <f>SUMPRODUCT($H14^(ROW(INDIRECT("1:"&amp;$G14))-1))/((1-$B$5)*SUMPRODUCT($H14^(ROW(INDIRECT("1:"&amp;$G14))-1)/($B14*(1-$I14*(ROW(INDIRECT("1:"&amp;$G14))-1)))))*(1+$B$6)/(1-$B$5)/$J14-1</f>
        <v/>
      </c>
      <c r="L14" s="43" t="n">
        <v>0.114</v>
      </c>
      <c r="M14" s="44" t="n">
        <v>0.8512999999999999</v>
      </c>
    </row>
    <row r="15">
      <c r="A15" s="7" t="inlineStr">
        <is>
          <t>BCH</t>
        </is>
      </c>
      <c r="B15" s="34" t="n">
        <v>256.6</v>
      </c>
      <c r="C15" s="35" t="n">
        <v>548</v>
      </c>
      <c r="D15" s="36">
        <f>B15/C15-1</f>
        <v/>
      </c>
      <c r="E15" s="37" t="n">
        <v>1500</v>
      </c>
      <c r="F15" s="38" t="n">
        <v>0.1</v>
      </c>
      <c r="G15" s="39" t="n">
        <v>10</v>
      </c>
      <c r="H15" s="40" t="n">
        <v>1.8</v>
      </c>
      <c r="I15" s="41">
        <f>F15/(G15-1)</f>
        <v/>
      </c>
      <c r="J15" s="8">
        <f>B15*(1-F15)</f>
        <v/>
      </c>
      <c r="K15" s="42">
        <f>SUMPRODUCT($H15^(ROW(INDIRECT("1:"&amp;$G15))-1))/((1-$B$5)*SUMPRODUCT($H15^(ROW(INDIRECT("1:"&amp;$G15))-1)/($B15*(1-$I15*(ROW(INDIRECT("1:"&amp;$G15))-1)))))*(1+$B$6)/(1-$B$5)/$J15-1</f>
        <v/>
      </c>
      <c r="L15" s="43" t="n">
        <v>0.0955</v>
      </c>
      <c r="M15" s="44" t="n">
        <v>0.7235</v>
      </c>
    </row>
    <row r="16">
      <c r="A16" s="7" t="inlineStr">
        <is>
          <t>DGB</t>
        </is>
      </c>
      <c r="B16" s="47" t="n">
        <v>0.00507</v>
      </c>
      <c r="C16" s="48" t="n">
        <v>0.05</v>
      </c>
      <c r="D16" s="36">
        <f>B16/C16-1</f>
        <v/>
      </c>
      <c r="E16" s="37" t="n">
        <v>1500</v>
      </c>
      <c r="F16" s="38" t="n">
        <v>0.192</v>
      </c>
      <c r="G16" s="39" t="n">
        <v>12</v>
      </c>
      <c r="H16" s="40" t="n">
        <v>1.8</v>
      </c>
      <c r="I16" s="41">
        <f>F16/(G16-1)</f>
        <v/>
      </c>
      <c r="J16" s="18">
        <f>B16*(1-F16)</f>
        <v/>
      </c>
      <c r="K16" s="42">
        <f>SUMPRODUCT($H16^(ROW(INDIRECT("1:"&amp;$G16))-1))/((1-$B$5)*SUMPRODUCT($H16^(ROW(INDIRECT("1:"&amp;$G16))-1)/($B16*(1-$I16*(ROW(INDIRECT("1:"&amp;$G16))-1)))))*(1+$B$6)/(1-$B$5)/$J16-1</f>
        <v/>
      </c>
      <c r="L16" s="43" t="n">
        <v>0.1917</v>
      </c>
      <c r="M16" s="44" t="n">
        <v>0.7833</v>
      </c>
    </row>
    <row r="17">
      <c r="A17" s="7" t="inlineStr">
        <is>
          <t>DOGE</t>
        </is>
      </c>
      <c r="B17" s="45" t="n">
        <v>0.08891</v>
      </c>
      <c r="C17" s="46" t="n">
        <v>0.29</v>
      </c>
      <c r="D17" s="36">
        <f>B17/C17-1</f>
        <v/>
      </c>
      <c r="E17" s="37" t="n">
        <v>1500</v>
      </c>
      <c r="F17" s="38" t="n">
        <v>0.102</v>
      </c>
      <c r="G17" s="39" t="n">
        <v>10</v>
      </c>
      <c r="H17" s="40" t="n">
        <v>1.8</v>
      </c>
      <c r="I17" s="41">
        <f>F17/(G17-1)</f>
        <v/>
      </c>
      <c r="J17" s="16">
        <f>B17*(1-F17)</f>
        <v/>
      </c>
      <c r="K17" s="42">
        <f>SUMPRODUCT($H17^(ROW(INDIRECT("1:"&amp;$G17))-1))/((1-$B$5)*SUMPRODUCT($H17^(ROW(INDIRECT("1:"&amp;$G17))-1)/($B17*(1-$I17*(ROW(INDIRECT("1:"&amp;$G17))-1)))))*(1+$B$6)/(1-$B$5)/$J17-1</f>
        <v/>
      </c>
      <c r="L17" s="43" t="n">
        <v>0.1018</v>
      </c>
      <c r="M17" s="44" t="n">
        <v>0.7662</v>
      </c>
    </row>
    <row r="18">
      <c r="A18" s="7" t="inlineStr">
        <is>
          <t>ETH</t>
        </is>
      </c>
      <c r="B18" s="34" t="n">
        <v>2484.1</v>
      </c>
      <c r="C18" s="35" t="n">
        <v>2648</v>
      </c>
      <c r="D18" s="36">
        <f>B18/C18-1</f>
        <v/>
      </c>
      <c r="E18" s="37" t="n">
        <v>1500</v>
      </c>
      <c r="F18" s="38" t="n">
        <v>0.136</v>
      </c>
      <c r="G18" s="39" t="n">
        <v>10</v>
      </c>
      <c r="H18" s="40" t="n">
        <v>1.8</v>
      </c>
      <c r="I18" s="41">
        <f>F18/(G18-1)</f>
        <v/>
      </c>
      <c r="J18" s="8">
        <f>B18*(1-F18)</f>
        <v/>
      </c>
      <c r="K18" s="42">
        <f>SUMPRODUCT($H18^(ROW(INDIRECT("1:"&amp;$G18))-1))/((1-$B$5)*SUMPRODUCT($H18^(ROW(INDIRECT("1:"&amp;$G18))-1)/($B18*(1-$I18*(ROW(INDIRECT("1:"&amp;$G18))-1)))))*(1+$B$6)/(1-$B$5)/$J18-1</f>
        <v/>
      </c>
      <c r="L18" s="43" t="n">
        <v>0.1363</v>
      </c>
      <c r="M18" s="44" t="n">
        <v>0.6805</v>
      </c>
    </row>
    <row r="19">
      <c r="A19" s="7" t="inlineStr">
        <is>
          <t>TRX</t>
        </is>
      </c>
      <c r="B19" s="45" t="n">
        <v>0.3351</v>
      </c>
      <c r="C19" s="46" t="n">
        <v>0.046</v>
      </c>
      <c r="D19" s="36">
        <f>B19/C19-1</f>
        <v/>
      </c>
      <c r="E19" s="37" t="n">
        <v>1500</v>
      </c>
      <c r="F19" s="38" t="n">
        <v>0.1</v>
      </c>
      <c r="G19" s="39" t="n">
        <v>10</v>
      </c>
      <c r="H19" s="40" t="n">
        <v>1.8</v>
      </c>
      <c r="I19" s="41">
        <f>F19/(G19-1)</f>
        <v/>
      </c>
      <c r="J19" s="16">
        <f>B19*(1-F19)</f>
        <v/>
      </c>
      <c r="K19" s="42">
        <f>SUMPRODUCT($H19^(ROW(INDIRECT("1:"&amp;$G19))-1))/((1-$B$5)*SUMPRODUCT($H19^(ROW(INDIRECT("1:"&amp;$G19))-1)/($B19*(1-$I19*(ROW(INDIRECT("1:"&amp;$G19))-1)))))*(1+$B$6)/(1-$B$5)/$J19-1</f>
        <v/>
      </c>
      <c r="L19" s="43" t="n">
        <v>0.0452</v>
      </c>
      <c r="M19" s="44" t="n">
        <v>0.2389</v>
      </c>
    </row>
    <row r="20">
      <c r="A20" s="7" t="inlineStr">
        <is>
          <t>UNI</t>
        </is>
      </c>
      <c r="B20" s="49" t="n">
        <v>6.936</v>
      </c>
      <c r="C20" s="50" t="n">
        <v>18.9</v>
      </c>
      <c r="D20" s="36">
        <f>B20/C20-1</f>
        <v/>
      </c>
      <c r="E20" s="37" t="n">
        <v>1500</v>
      </c>
      <c r="F20" s="38" t="n">
        <v>0.248</v>
      </c>
      <c r="G20" s="39" t="n">
        <v>12</v>
      </c>
      <c r="H20" s="40" t="n">
        <v>1.8</v>
      </c>
      <c r="I20" s="41">
        <f>F20/(G20-1)</f>
        <v/>
      </c>
      <c r="J20" s="20">
        <f>B20*(1-F20)</f>
        <v/>
      </c>
      <c r="K20" s="42">
        <f>SUMPRODUCT($H20^(ROW(INDIRECT("1:"&amp;$G20))-1))/((1-$B$5)*SUMPRODUCT($H20^(ROW(INDIRECT("1:"&amp;$G20))-1)/($B20*(1-$I20*(ROW(INDIRECT("1:"&amp;$G20))-1)))))*(1+$B$6)/(1-$B$5)/$J20-1</f>
        <v/>
      </c>
      <c r="L20" s="43" t="n">
        <v>0.2477</v>
      </c>
      <c r="M20" s="44" t="n">
        <v>0.8035</v>
      </c>
    </row>
    <row r="21">
      <c r="A21" s="7" t="inlineStr">
        <is>
          <t>XRP</t>
        </is>
      </c>
      <c r="B21" s="49" t="n">
        <v>1.4096</v>
      </c>
      <c r="C21" s="50" t="n">
        <v>0.89</v>
      </c>
      <c r="D21" s="36">
        <f>B21/C21-1</f>
        <v/>
      </c>
      <c r="E21" s="37" t="n">
        <v>1500</v>
      </c>
      <c r="F21" s="38" t="n">
        <v>0.125</v>
      </c>
      <c r="G21" s="39" t="n">
        <v>10</v>
      </c>
      <c r="H21" s="40" t="n">
        <v>1.8</v>
      </c>
      <c r="I21" s="41">
        <f>F21/(G21-1)</f>
        <v/>
      </c>
      <c r="J21" s="20">
        <f>B21*(1-F21)</f>
        <v/>
      </c>
      <c r="K21" s="42">
        <f>SUMPRODUCT($H21^(ROW(INDIRECT("1:"&amp;$G21))-1))/((1-$B$5)*SUMPRODUCT($H21^(ROW(INDIRECT("1:"&amp;$G21))-1)/($B21*(1-$I21*(ROW(INDIRECT("1:"&amp;$G21))-1)))))*(1+$B$6)/(1-$B$5)/$J21-1</f>
        <v/>
      </c>
      <c r="L21" s="43" t="n">
        <v>0.1251</v>
      </c>
      <c r="M21" s="44" t="n">
        <v>0.6838</v>
      </c>
    </row>
    <row r="23">
      <c r="A23" s="30" t="inlineStr">
        <is>
          <t>Profondeur en orange : elle est plus courte que trois episodes de baisse sur quatre observes sur un an. Ecart en rouge : la piece a perdu plus de la moitie de sa valeur depuis l'ancien tableau.</t>
        </is>
      </c>
    </row>
  </sheetData>
  <conditionalFormatting sqref="F13:F21">
    <cfRule type="cellIs" priority="1" operator="lessThan" dxfId="2">
      <formula>L13</formula>
    </cfRule>
  </conditionalFormatting>
  <conditionalFormatting sqref="D13:D21">
    <cfRule type="cellIs" priority="2" operator="lessThan" dxfId="0">
      <formula>-0.5</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30"/>
  <sheetViews>
    <sheetView showGridLines="0" workbookViewId="0">
      <pane ySplit="12" topLeftCell="A13" activePane="bottomLeft" state="frozen"/>
      <selection pane="bottomLeft" activeCell="A1" sqref="A1"/>
    </sheetView>
  </sheetViews>
  <sheetFormatPr baseColWidth="8" defaultRowHeight="15"/>
  <cols>
    <col width="7" customWidth="1" min="1" max="1"/>
    <col width="13" customWidth="1" min="2" max="2"/>
    <col width="12" customWidth="1" min="3" max="3"/>
    <col width="9" customWidth="1" min="4" max="4"/>
    <col width="14" customWidth="1" min="5" max="5"/>
    <col width="15" customWidth="1" min="6" max="6"/>
    <col width="12" customWidth="1" min="7" max="7"/>
    <col width="12" customWidth="1" min="8" max="8"/>
    <col width="12" customWidth="1" min="9" max="9"/>
    <col width="14" customWidth="1" min="10" max="10"/>
    <col width="14" customWidth="1" min="11" max="11"/>
    <col width="13" customWidth="1" min="12" max="12"/>
    <col width="12" customWidth="1" min="13" max="13"/>
    <col width="14" customWidth="1" min="14" max="14"/>
  </cols>
  <sheetData>
    <row r="1">
      <c r="A1" s="1" t="inlineStr">
        <is>
          <t>Descente AAVE</t>
        </is>
      </c>
    </row>
    <row r="2">
      <c r="A2" s="2" t="inlineStr">
        <is>
          <t>Colonnes jaunes : a remplir quand l'achat est passe. Le reste est calcule.</t>
        </is>
      </c>
    </row>
    <row r="4">
      <c r="A4" s="28" t="inlineStr">
        <is>
          <t>Prix de reference</t>
        </is>
      </c>
      <c r="B4" s="51">
        <f>Reglages!B13</f>
        <v/>
      </c>
      <c r="D4" s="28" t="inlineStr">
        <is>
          <t>Date du premier achat</t>
        </is>
      </c>
      <c r="E4" s="52" t="n"/>
    </row>
    <row r="5">
      <c r="A5" s="28" t="inlineStr">
        <is>
          <t>Budget alloue</t>
        </is>
      </c>
      <c r="B5" s="53">
        <f>Reglages!E13</f>
        <v/>
      </c>
      <c r="D5" s="28" t="inlineStr">
        <is>
          <t>Jours ecoules</t>
        </is>
      </c>
      <c r="E5" s="54">
        <f>IF(E4="","",TODAY()-E4)</f>
        <v/>
      </c>
    </row>
    <row r="6">
      <c r="A6" s="28" t="inlineStr">
        <is>
          <t>Profondeur de l'echelle</t>
        </is>
      </c>
      <c r="B6" s="55">
        <f>Reglages!F13</f>
        <v/>
      </c>
      <c r="D6" s="28" t="inlineStr">
        <is>
          <t>Seuil d'abandon</t>
        </is>
      </c>
      <c r="E6" s="51">
        <f>B7*(1-0.15)</f>
        <v/>
      </c>
      <c r="F6" s="30" t="inlineStr">
        <is>
          <t>15 % sous le dernier palier. En dessous, on n'ajoute plus rien.</t>
        </is>
      </c>
    </row>
    <row r="7">
      <c r="A7" s="28" t="inlineStr">
        <is>
          <t>Prix du dernier palier</t>
        </is>
      </c>
      <c r="B7" s="51">
        <f>Reglages!J13</f>
        <v/>
      </c>
    </row>
    <row r="8">
      <c r="A8" s="28" t="inlineStr">
        <is>
          <t>Objectif net a la revente</t>
        </is>
      </c>
      <c r="B8" s="56">
        <f>Reglages!B6</f>
        <v/>
      </c>
    </row>
    <row r="9">
      <c r="A9" s="28" t="inlineStr">
        <is>
          <t>Prix actuel du marche</t>
        </is>
      </c>
      <c r="B9" s="34" t="n">
        <v>133.75</v>
      </c>
    </row>
    <row r="12" ht="34" customHeight="1">
      <c r="A12" s="6" t="inlineStr">
        <is>
          <t>Palier</t>
        </is>
      </c>
      <c r="B12" s="6" t="inlineStr">
        <is>
          <t>Prix cible</t>
        </is>
      </c>
      <c r="C12" s="6" t="inlineStr">
        <is>
          <t>Mise prevue
(EUR)</t>
        </is>
      </c>
      <c r="D12" s="6" t="inlineStr">
        <is>
          <t>Fait ?
(1 = oui)</t>
        </is>
      </c>
      <c r="E12" s="6" t="inlineStr">
        <is>
          <t>Prix reellement
paye</t>
        </is>
      </c>
      <c r="F12" s="6" t="inlineStr">
        <is>
          <t>Montant reellement
investi (EUR)</t>
        </is>
      </c>
      <c r="G12" s="6" t="inlineStr">
        <is>
          <t>Unites
obtenues</t>
        </is>
      </c>
      <c r="H12" s="6" t="inlineStr">
        <is>
          <t>Cumul
investi</t>
        </is>
      </c>
      <c r="I12" s="6" t="inlineStr">
        <is>
          <t>Cumul
unites</t>
        </is>
      </c>
      <c r="J12" s="6" t="inlineStr">
        <is>
          <t>Prix de revient
moyen</t>
        </is>
      </c>
      <c r="K12" s="6" t="inlineStr">
        <is>
          <t>Prix de revente
(+2 % net)</t>
        </is>
      </c>
      <c r="L12" s="6" t="inlineStr">
        <is>
          <t>Valeur au
prix actuel</t>
        </is>
      </c>
      <c r="M12" s="6" t="inlineStr">
        <is>
          <t>P&amp;L latent</t>
        </is>
      </c>
      <c r="N12" s="6" t="inlineStr">
        <is>
          <t>Rebond requis
depuis ce palier</t>
        </is>
      </c>
    </row>
    <row r="13">
      <c r="A13" s="57" t="n">
        <v>1</v>
      </c>
      <c r="B13" s="8">
        <f>IF(1&gt;Reglages!$G$13,"",$B$4*(1-Reglages!$I$13*0))</f>
        <v/>
      </c>
      <c r="C13" s="8">
        <f>IF(1&gt;Reglages!$G$13,"",$B$5*Reglages!$H$13^0/SUMPRODUCT(Reglages!$H$13^(ROW(INDIRECT("1:"&amp;Reglages!$G$13))-1)))</f>
        <v/>
      </c>
      <c r="D13" s="39" t="n"/>
      <c r="E13" s="58" t="n"/>
      <c r="F13" s="58" t="n"/>
      <c r="G13" s="10">
        <f>IF(OR(D13&lt;&gt;1,E13="",E13=0),0,F13/E13*(1-Reglages!$B$5))</f>
        <v/>
      </c>
      <c r="H13" s="8">
        <f>SUM($F$13:F13)</f>
        <v/>
      </c>
      <c r="I13" s="10">
        <f>SUM($G$13:G13)</f>
        <v/>
      </c>
      <c r="J13" s="8">
        <f>IF(I13=0,"",H13/I13)</f>
        <v/>
      </c>
      <c r="K13" s="11">
        <f>IF(I13=0,"",J13*(1+$B$8)/(1-Reglages!$B$5))</f>
        <v/>
      </c>
      <c r="L13" s="8">
        <f>I13*$B$9</f>
        <v/>
      </c>
      <c r="M13" s="13">
        <f>IF(I13=0,"",L13-H13)</f>
        <v/>
      </c>
      <c r="N13" s="12">
        <f>IF(OR(I13=0,B13=""),"",K13/B13-1)</f>
        <v/>
      </c>
    </row>
    <row r="14">
      <c r="A14" s="57" t="n">
        <v>2</v>
      </c>
      <c r="B14" s="8">
        <f>IF(2&gt;Reglages!$G$13,"",$B$4*(1-Reglages!$I$13*1))</f>
        <v/>
      </c>
      <c r="C14" s="8">
        <f>IF(2&gt;Reglages!$G$13,"",$B$5*Reglages!$H$13^1/SUMPRODUCT(Reglages!$H$13^(ROW(INDIRECT("1:"&amp;Reglages!$G$13))-1)))</f>
        <v/>
      </c>
      <c r="D14" s="39" t="n"/>
      <c r="E14" s="58" t="n"/>
      <c r="F14" s="58" t="n"/>
      <c r="G14" s="10">
        <f>IF(OR(D14&lt;&gt;1,E14="",E14=0),0,F14/E14*(1-Reglages!$B$5))</f>
        <v/>
      </c>
      <c r="H14" s="8">
        <f>SUM($F$13:F14)</f>
        <v/>
      </c>
      <c r="I14" s="10">
        <f>SUM($G$13:G14)</f>
        <v/>
      </c>
      <c r="J14" s="8">
        <f>IF(I14=0,"",H14/I14)</f>
        <v/>
      </c>
      <c r="K14" s="11">
        <f>IF(I14=0,"",J14*(1+$B$8)/(1-Reglages!$B$5))</f>
        <v/>
      </c>
      <c r="L14" s="8">
        <f>I14*$B$9</f>
        <v/>
      </c>
      <c r="M14" s="13">
        <f>IF(I14=0,"",L14-H14)</f>
        <v/>
      </c>
      <c r="N14" s="12">
        <f>IF(OR(I14=0,B14=""),"",K14/B14-1)</f>
        <v/>
      </c>
    </row>
    <row r="15">
      <c r="A15" s="57" t="n">
        <v>3</v>
      </c>
      <c r="B15" s="8">
        <f>IF(3&gt;Reglages!$G$13,"",$B$4*(1-Reglages!$I$13*2))</f>
        <v/>
      </c>
      <c r="C15" s="8">
        <f>IF(3&gt;Reglages!$G$13,"",$B$5*Reglages!$H$13^2/SUMPRODUCT(Reglages!$H$13^(ROW(INDIRECT("1:"&amp;Reglages!$G$13))-1)))</f>
        <v/>
      </c>
      <c r="D15" s="39" t="n"/>
      <c r="E15" s="58" t="n"/>
      <c r="F15" s="58" t="n"/>
      <c r="G15" s="10">
        <f>IF(OR(D15&lt;&gt;1,E15="",E15=0),0,F15/E15*(1-Reglages!$B$5))</f>
        <v/>
      </c>
      <c r="H15" s="8">
        <f>SUM($F$13:F15)</f>
        <v/>
      </c>
      <c r="I15" s="10">
        <f>SUM($G$13:G15)</f>
        <v/>
      </c>
      <c r="J15" s="8">
        <f>IF(I15=0,"",H15/I15)</f>
        <v/>
      </c>
      <c r="K15" s="11">
        <f>IF(I15=0,"",J15*(1+$B$8)/(1-Reglages!$B$5))</f>
        <v/>
      </c>
      <c r="L15" s="8">
        <f>I15*$B$9</f>
        <v/>
      </c>
      <c r="M15" s="13">
        <f>IF(I15=0,"",L15-H15)</f>
        <v/>
      </c>
      <c r="N15" s="12">
        <f>IF(OR(I15=0,B15=""),"",K15/B15-1)</f>
        <v/>
      </c>
    </row>
    <row r="16">
      <c r="A16" s="57" t="n">
        <v>4</v>
      </c>
      <c r="B16" s="8">
        <f>IF(4&gt;Reglages!$G$13,"",$B$4*(1-Reglages!$I$13*3))</f>
        <v/>
      </c>
      <c r="C16" s="8">
        <f>IF(4&gt;Reglages!$G$13,"",$B$5*Reglages!$H$13^3/SUMPRODUCT(Reglages!$H$13^(ROW(INDIRECT("1:"&amp;Reglages!$G$13))-1)))</f>
        <v/>
      </c>
      <c r="D16" s="39" t="n"/>
      <c r="E16" s="58" t="n"/>
      <c r="F16" s="58" t="n"/>
      <c r="G16" s="10">
        <f>IF(OR(D16&lt;&gt;1,E16="",E16=0),0,F16/E16*(1-Reglages!$B$5))</f>
        <v/>
      </c>
      <c r="H16" s="8">
        <f>SUM($F$13:F16)</f>
        <v/>
      </c>
      <c r="I16" s="10">
        <f>SUM($G$13:G16)</f>
        <v/>
      </c>
      <c r="J16" s="8">
        <f>IF(I16=0,"",H16/I16)</f>
        <v/>
      </c>
      <c r="K16" s="11">
        <f>IF(I16=0,"",J16*(1+$B$8)/(1-Reglages!$B$5))</f>
        <v/>
      </c>
      <c r="L16" s="8">
        <f>I16*$B$9</f>
        <v/>
      </c>
      <c r="M16" s="13">
        <f>IF(I16=0,"",L16-H16)</f>
        <v/>
      </c>
      <c r="N16" s="12">
        <f>IF(OR(I16=0,B16=""),"",K16/B16-1)</f>
        <v/>
      </c>
    </row>
    <row r="17">
      <c r="A17" s="57" t="n">
        <v>5</v>
      </c>
      <c r="B17" s="8">
        <f>IF(5&gt;Reglages!$G$13,"",$B$4*(1-Reglages!$I$13*4))</f>
        <v/>
      </c>
      <c r="C17" s="8">
        <f>IF(5&gt;Reglages!$G$13,"",$B$5*Reglages!$H$13^4/SUMPRODUCT(Reglages!$H$13^(ROW(INDIRECT("1:"&amp;Reglages!$G$13))-1)))</f>
        <v/>
      </c>
      <c r="D17" s="39" t="n"/>
      <c r="E17" s="58" t="n"/>
      <c r="F17" s="58" t="n"/>
      <c r="G17" s="10">
        <f>IF(OR(D17&lt;&gt;1,E17="",E17=0),0,F17/E17*(1-Reglages!$B$5))</f>
        <v/>
      </c>
      <c r="H17" s="8">
        <f>SUM($F$13:F17)</f>
        <v/>
      </c>
      <c r="I17" s="10">
        <f>SUM($G$13:G17)</f>
        <v/>
      </c>
      <c r="J17" s="8">
        <f>IF(I17=0,"",H17/I17)</f>
        <v/>
      </c>
      <c r="K17" s="11">
        <f>IF(I17=0,"",J17*(1+$B$8)/(1-Reglages!$B$5))</f>
        <v/>
      </c>
      <c r="L17" s="8">
        <f>I17*$B$9</f>
        <v/>
      </c>
      <c r="M17" s="13">
        <f>IF(I17=0,"",L17-H17)</f>
        <v/>
      </c>
      <c r="N17" s="12">
        <f>IF(OR(I17=0,B17=""),"",K17/B17-1)</f>
        <v/>
      </c>
    </row>
    <row r="18">
      <c r="A18" s="57" t="n">
        <v>6</v>
      </c>
      <c r="B18" s="8">
        <f>IF(6&gt;Reglages!$G$13,"",$B$4*(1-Reglages!$I$13*5))</f>
        <v/>
      </c>
      <c r="C18" s="8">
        <f>IF(6&gt;Reglages!$G$13,"",$B$5*Reglages!$H$13^5/SUMPRODUCT(Reglages!$H$13^(ROW(INDIRECT("1:"&amp;Reglages!$G$13))-1)))</f>
        <v/>
      </c>
      <c r="D18" s="39" t="n"/>
      <c r="E18" s="58" t="n"/>
      <c r="F18" s="58" t="n"/>
      <c r="G18" s="10">
        <f>IF(OR(D18&lt;&gt;1,E18="",E18=0),0,F18/E18*(1-Reglages!$B$5))</f>
        <v/>
      </c>
      <c r="H18" s="8">
        <f>SUM($F$13:F18)</f>
        <v/>
      </c>
      <c r="I18" s="10">
        <f>SUM($G$13:G18)</f>
        <v/>
      </c>
      <c r="J18" s="8">
        <f>IF(I18=0,"",H18/I18)</f>
        <v/>
      </c>
      <c r="K18" s="11">
        <f>IF(I18=0,"",J18*(1+$B$8)/(1-Reglages!$B$5))</f>
        <v/>
      </c>
      <c r="L18" s="8">
        <f>I18*$B$9</f>
        <v/>
      </c>
      <c r="M18" s="13">
        <f>IF(I18=0,"",L18-H18)</f>
        <v/>
      </c>
      <c r="N18" s="12">
        <f>IF(OR(I18=0,B18=""),"",K18/B18-1)</f>
        <v/>
      </c>
    </row>
    <row r="19">
      <c r="A19" s="57" t="n">
        <v>7</v>
      </c>
      <c r="B19" s="8">
        <f>IF(7&gt;Reglages!$G$13,"",$B$4*(1-Reglages!$I$13*6))</f>
        <v/>
      </c>
      <c r="C19" s="8">
        <f>IF(7&gt;Reglages!$G$13,"",$B$5*Reglages!$H$13^6/SUMPRODUCT(Reglages!$H$13^(ROW(INDIRECT("1:"&amp;Reglages!$G$13))-1)))</f>
        <v/>
      </c>
      <c r="D19" s="39" t="n"/>
      <c r="E19" s="58" t="n"/>
      <c r="F19" s="58" t="n"/>
      <c r="G19" s="10">
        <f>IF(OR(D19&lt;&gt;1,E19="",E19=0),0,F19/E19*(1-Reglages!$B$5))</f>
        <v/>
      </c>
      <c r="H19" s="8">
        <f>SUM($F$13:F19)</f>
        <v/>
      </c>
      <c r="I19" s="10">
        <f>SUM($G$13:G19)</f>
        <v/>
      </c>
      <c r="J19" s="8">
        <f>IF(I19=0,"",H19/I19)</f>
        <v/>
      </c>
      <c r="K19" s="11">
        <f>IF(I19=0,"",J19*(1+$B$8)/(1-Reglages!$B$5))</f>
        <v/>
      </c>
      <c r="L19" s="8">
        <f>I19*$B$9</f>
        <v/>
      </c>
      <c r="M19" s="13">
        <f>IF(I19=0,"",L19-H19)</f>
        <v/>
      </c>
      <c r="N19" s="12">
        <f>IF(OR(I19=0,B19=""),"",K19/B19-1)</f>
        <v/>
      </c>
    </row>
    <row r="20">
      <c r="A20" s="57" t="n">
        <v>8</v>
      </c>
      <c r="B20" s="8">
        <f>IF(8&gt;Reglages!$G$13,"",$B$4*(1-Reglages!$I$13*7))</f>
        <v/>
      </c>
      <c r="C20" s="8">
        <f>IF(8&gt;Reglages!$G$13,"",$B$5*Reglages!$H$13^7/SUMPRODUCT(Reglages!$H$13^(ROW(INDIRECT("1:"&amp;Reglages!$G$13))-1)))</f>
        <v/>
      </c>
      <c r="D20" s="39" t="n"/>
      <c r="E20" s="58" t="n"/>
      <c r="F20" s="58" t="n"/>
      <c r="G20" s="10">
        <f>IF(OR(D20&lt;&gt;1,E20="",E20=0),0,F20/E20*(1-Reglages!$B$5))</f>
        <v/>
      </c>
      <c r="H20" s="8">
        <f>SUM($F$13:F20)</f>
        <v/>
      </c>
      <c r="I20" s="10">
        <f>SUM($G$13:G20)</f>
        <v/>
      </c>
      <c r="J20" s="8">
        <f>IF(I20=0,"",H20/I20)</f>
        <v/>
      </c>
      <c r="K20" s="11">
        <f>IF(I20=0,"",J20*(1+$B$8)/(1-Reglages!$B$5))</f>
        <v/>
      </c>
      <c r="L20" s="8">
        <f>I20*$B$9</f>
        <v/>
      </c>
      <c r="M20" s="13">
        <f>IF(I20=0,"",L20-H20)</f>
        <v/>
      </c>
      <c r="N20" s="12">
        <f>IF(OR(I20=0,B20=""),"",K20/B20-1)</f>
        <v/>
      </c>
    </row>
    <row r="21">
      <c r="A21" s="57" t="n">
        <v>9</v>
      </c>
      <c r="B21" s="8">
        <f>IF(9&gt;Reglages!$G$13,"",$B$4*(1-Reglages!$I$13*8))</f>
        <v/>
      </c>
      <c r="C21" s="8">
        <f>IF(9&gt;Reglages!$G$13,"",$B$5*Reglages!$H$13^8/SUMPRODUCT(Reglages!$H$13^(ROW(INDIRECT("1:"&amp;Reglages!$G$13))-1)))</f>
        <v/>
      </c>
      <c r="D21" s="39" t="n"/>
      <c r="E21" s="58" t="n"/>
      <c r="F21" s="58" t="n"/>
      <c r="G21" s="10">
        <f>IF(OR(D21&lt;&gt;1,E21="",E21=0),0,F21/E21*(1-Reglages!$B$5))</f>
        <v/>
      </c>
      <c r="H21" s="8">
        <f>SUM($F$13:F21)</f>
        <v/>
      </c>
      <c r="I21" s="10">
        <f>SUM($G$13:G21)</f>
        <v/>
      </c>
      <c r="J21" s="8">
        <f>IF(I21=0,"",H21/I21)</f>
        <v/>
      </c>
      <c r="K21" s="11">
        <f>IF(I21=0,"",J21*(1+$B$8)/(1-Reglages!$B$5))</f>
        <v/>
      </c>
      <c r="L21" s="8">
        <f>I21*$B$9</f>
        <v/>
      </c>
      <c r="M21" s="13">
        <f>IF(I21=0,"",L21-H21)</f>
        <v/>
      </c>
      <c r="N21" s="12">
        <f>IF(OR(I21=0,B21=""),"",K21/B21-1)</f>
        <v/>
      </c>
    </row>
    <row r="22">
      <c r="A22" s="57" t="n">
        <v>10</v>
      </c>
      <c r="B22" s="8">
        <f>IF(10&gt;Reglages!$G$13,"",$B$4*(1-Reglages!$I$13*9))</f>
        <v/>
      </c>
      <c r="C22" s="8">
        <f>IF(10&gt;Reglages!$G$13,"",$B$5*Reglages!$H$13^9/SUMPRODUCT(Reglages!$H$13^(ROW(INDIRECT("1:"&amp;Reglages!$G$13))-1)))</f>
        <v/>
      </c>
      <c r="D22" s="39" t="n"/>
      <c r="E22" s="58" t="n"/>
      <c r="F22" s="58" t="n"/>
      <c r="G22" s="10">
        <f>IF(OR(D22&lt;&gt;1,E22="",E22=0),0,F22/E22*(1-Reglages!$B$5))</f>
        <v/>
      </c>
      <c r="H22" s="8">
        <f>SUM($F$13:F22)</f>
        <v/>
      </c>
      <c r="I22" s="10">
        <f>SUM($G$13:G22)</f>
        <v/>
      </c>
      <c r="J22" s="8">
        <f>IF(I22=0,"",H22/I22)</f>
        <v/>
      </c>
      <c r="K22" s="11">
        <f>IF(I22=0,"",J22*(1+$B$8)/(1-Reglages!$B$5))</f>
        <v/>
      </c>
      <c r="L22" s="8">
        <f>I22*$B$9</f>
        <v/>
      </c>
      <c r="M22" s="13">
        <f>IF(I22=0,"",L22-H22)</f>
        <v/>
      </c>
      <c r="N22" s="12">
        <f>IF(OR(I22=0,B22=""),"",K22/B22-1)</f>
        <v/>
      </c>
    </row>
    <row r="23">
      <c r="A23" s="57" t="n">
        <v>11</v>
      </c>
      <c r="B23" s="8">
        <f>IF(11&gt;Reglages!$G$13,"",$B$4*(1-Reglages!$I$13*10))</f>
        <v/>
      </c>
      <c r="C23" s="8">
        <f>IF(11&gt;Reglages!$G$13,"",$B$5*Reglages!$H$13^10/SUMPRODUCT(Reglages!$H$13^(ROW(INDIRECT("1:"&amp;Reglages!$G$13))-1)))</f>
        <v/>
      </c>
      <c r="D23" s="39" t="n"/>
      <c r="E23" s="58" t="n"/>
      <c r="F23" s="58" t="n"/>
      <c r="G23" s="10">
        <f>IF(OR(D23&lt;&gt;1,E23="",E23=0),0,F23/E23*(1-Reglages!$B$5))</f>
        <v/>
      </c>
      <c r="H23" s="8">
        <f>SUM($F$13:F23)</f>
        <v/>
      </c>
      <c r="I23" s="10">
        <f>SUM($G$13:G23)</f>
        <v/>
      </c>
      <c r="J23" s="8">
        <f>IF(I23=0,"",H23/I23)</f>
        <v/>
      </c>
      <c r="K23" s="11">
        <f>IF(I23=0,"",J23*(1+$B$8)/(1-Reglages!$B$5))</f>
        <v/>
      </c>
      <c r="L23" s="8">
        <f>I23*$B$9</f>
        <v/>
      </c>
      <c r="M23" s="13">
        <f>IF(I23=0,"",L23-H23)</f>
        <v/>
      </c>
      <c r="N23" s="12">
        <f>IF(OR(I23=0,B23=""),"",K23/B23-1)</f>
        <v/>
      </c>
    </row>
    <row r="24">
      <c r="A24" s="57" t="n">
        <v>12</v>
      </c>
      <c r="B24" s="8">
        <f>IF(12&gt;Reglages!$G$13,"",$B$4*(1-Reglages!$I$13*11))</f>
        <v/>
      </c>
      <c r="C24" s="8">
        <f>IF(12&gt;Reglages!$G$13,"",$B$5*Reglages!$H$13^11/SUMPRODUCT(Reglages!$H$13^(ROW(INDIRECT("1:"&amp;Reglages!$G$13))-1)))</f>
        <v/>
      </c>
      <c r="D24" s="39" t="n"/>
      <c r="E24" s="58" t="n"/>
      <c r="F24" s="58" t="n"/>
      <c r="G24" s="10">
        <f>IF(OR(D24&lt;&gt;1,E24="",E24=0),0,F24/E24*(1-Reglages!$B$5))</f>
        <v/>
      </c>
      <c r="H24" s="8">
        <f>SUM($F$13:F24)</f>
        <v/>
      </c>
      <c r="I24" s="10">
        <f>SUM($G$13:G24)</f>
        <v/>
      </c>
      <c r="J24" s="8">
        <f>IF(I24=0,"",H24/I24)</f>
        <v/>
      </c>
      <c r="K24" s="11">
        <f>IF(I24=0,"",J24*(1+$B$8)/(1-Reglages!$B$5))</f>
        <v/>
      </c>
      <c r="L24" s="8">
        <f>I24*$B$9</f>
        <v/>
      </c>
      <c r="M24" s="13">
        <f>IF(I24=0,"",L24-H24)</f>
        <v/>
      </c>
      <c r="N24" s="12">
        <f>IF(OR(I24=0,B24=""),"",K24/B24-1)</f>
        <v/>
      </c>
    </row>
    <row r="25">
      <c r="A25" s="57" t="n">
        <v>13</v>
      </c>
      <c r="B25" s="8">
        <f>IF(13&gt;Reglages!$G$13,"",$B$4*(1-Reglages!$I$13*12))</f>
        <v/>
      </c>
      <c r="C25" s="8">
        <f>IF(13&gt;Reglages!$G$13,"",$B$5*Reglages!$H$13^12/SUMPRODUCT(Reglages!$H$13^(ROW(INDIRECT("1:"&amp;Reglages!$G$13))-1)))</f>
        <v/>
      </c>
      <c r="D25" s="39" t="n"/>
      <c r="E25" s="58" t="n"/>
      <c r="F25" s="58" t="n"/>
      <c r="G25" s="10">
        <f>IF(OR(D25&lt;&gt;1,E25="",E25=0),0,F25/E25*(1-Reglages!$B$5))</f>
        <v/>
      </c>
      <c r="H25" s="8">
        <f>SUM($F$13:F25)</f>
        <v/>
      </c>
      <c r="I25" s="10">
        <f>SUM($G$13:G25)</f>
        <v/>
      </c>
      <c r="J25" s="8">
        <f>IF(I25=0,"",H25/I25)</f>
        <v/>
      </c>
      <c r="K25" s="11">
        <f>IF(I25=0,"",J25*(1+$B$8)/(1-Reglages!$B$5))</f>
        <v/>
      </c>
      <c r="L25" s="8">
        <f>I25*$B$9</f>
        <v/>
      </c>
      <c r="M25" s="13">
        <f>IF(I25=0,"",L25-H25)</f>
        <v/>
      </c>
      <c r="N25" s="12">
        <f>IF(OR(I25=0,B25=""),"",K25/B25-1)</f>
        <v/>
      </c>
    </row>
    <row r="26">
      <c r="A26" s="57" t="n">
        <v>14</v>
      </c>
      <c r="B26" s="8">
        <f>IF(14&gt;Reglages!$G$13,"",$B$4*(1-Reglages!$I$13*13))</f>
        <v/>
      </c>
      <c r="C26" s="8">
        <f>IF(14&gt;Reglages!$G$13,"",$B$5*Reglages!$H$13^13/SUMPRODUCT(Reglages!$H$13^(ROW(INDIRECT("1:"&amp;Reglages!$G$13))-1)))</f>
        <v/>
      </c>
      <c r="D26" s="39" t="n"/>
      <c r="E26" s="58" t="n"/>
      <c r="F26" s="58" t="n"/>
      <c r="G26" s="10">
        <f>IF(OR(D26&lt;&gt;1,E26="",E26=0),0,F26/E26*(1-Reglages!$B$5))</f>
        <v/>
      </c>
      <c r="H26" s="8">
        <f>SUM($F$13:F26)</f>
        <v/>
      </c>
      <c r="I26" s="10">
        <f>SUM($G$13:G26)</f>
        <v/>
      </c>
      <c r="J26" s="8">
        <f>IF(I26=0,"",H26/I26)</f>
        <v/>
      </c>
      <c r="K26" s="11">
        <f>IF(I26=0,"",J26*(1+$B$8)/(1-Reglages!$B$5))</f>
        <v/>
      </c>
      <c r="L26" s="8">
        <f>I26*$B$9</f>
        <v/>
      </c>
      <c r="M26" s="13">
        <f>IF(I26=0,"",L26-H26)</f>
        <v/>
      </c>
      <c r="N26" s="12">
        <f>IF(OR(I26=0,B26=""),"",K26/B26-1)</f>
        <v/>
      </c>
    </row>
    <row r="27">
      <c r="A27" s="6" t="inlineStr">
        <is>
          <t>TOTAL</t>
        </is>
      </c>
      <c r="B27" s="22" t="n"/>
      <c r="C27" s="23">
        <f>SUM(C13:C26)</f>
        <v/>
      </c>
      <c r="D27" s="22" t="n"/>
      <c r="E27" s="22" t="n"/>
      <c r="F27" s="23">
        <f>SUM(F13:F26)</f>
        <v/>
      </c>
      <c r="G27" s="59">
        <f>SUM(G13:G26)</f>
        <v/>
      </c>
      <c r="H27" s="22" t="n"/>
      <c r="I27" s="22" t="n"/>
      <c r="J27" s="23">
        <f>IF(G27=0,"",F27/G27)</f>
        <v/>
      </c>
      <c r="K27" s="23">
        <f>IF(G27=0,"",J27*(1+$B$8)/(1-Reglages!$B$5))</f>
        <v/>
      </c>
      <c r="L27" s="23">
        <f>G27*$B$9</f>
        <v/>
      </c>
      <c r="M27" s="25">
        <f>IF(G27=0,"",L27-F27)</f>
        <v/>
      </c>
      <c r="N27" s="60">
        <f>IF(OR(G27=0,$B$9=0),"",K27/$B$9-1)</f>
        <v/>
      </c>
    </row>
    <row r="29">
      <c r="A29" s="5" t="inlineStr">
        <is>
          <t>Si vous revendez tout maintenant au prix de revente</t>
        </is>
      </c>
      <c r="E29" s="61">
        <f>IF(G27=0,"",F27*$B$8)</f>
        <v/>
      </c>
    </row>
    <row r="30">
      <c r="A30" s="5" t="inlineStr">
        <is>
          <t>Etat de la descente</t>
        </is>
      </c>
      <c r="E30" s="7">
        <f>IF(G27=0,"pas commencee",IF($B$9&lt;=$E$6,"ABANDON : sous le seuil",IF(AND($E$5&lt;&gt;"",$E$5&gt;Reglages!$B$8),"BLOQUEE : trop longue",IF($B$9&gt;=K27,"REVENDRE MAINTENANT",IF(COUNT(D13:D26)-COUNTIF(D13:D26,1)=0,"echelle epuisee","en cours"))))</f>
        <v/>
      </c>
    </row>
  </sheetData>
  <conditionalFormatting sqref="E30">
    <cfRule type="expression" priority="1" dxfId="0">
      <formula>OR(E30="ABANDON : sous le seuil",E30="BLOQUEE : trop longue")</formula>
    </cfRule>
    <cfRule type="expression" priority="2" dxfId="1">
      <formula>E30="REVENDRE MAINTENANT"</formula>
    </cfRule>
  </conditionalFormatting>
  <conditionalFormatting sqref="M13:M27">
    <cfRule type="cellIs" priority="3" operator="lessThan" dxfId="3">
      <formula>0</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30"/>
  <sheetViews>
    <sheetView showGridLines="0" workbookViewId="0">
      <pane ySplit="12" topLeftCell="A13" activePane="bottomLeft" state="frozen"/>
      <selection pane="bottomLeft" activeCell="A1" sqref="A1"/>
    </sheetView>
  </sheetViews>
  <sheetFormatPr baseColWidth="8" defaultRowHeight="15"/>
  <cols>
    <col width="7" customWidth="1" min="1" max="1"/>
    <col width="13" customWidth="1" min="2" max="2"/>
    <col width="12" customWidth="1" min="3" max="3"/>
    <col width="9" customWidth="1" min="4" max="4"/>
    <col width="14" customWidth="1" min="5" max="5"/>
    <col width="15" customWidth="1" min="6" max="6"/>
    <col width="12" customWidth="1" min="7" max="7"/>
    <col width="12" customWidth="1" min="8" max="8"/>
    <col width="12" customWidth="1" min="9" max="9"/>
    <col width="14" customWidth="1" min="10" max="10"/>
    <col width="14" customWidth="1" min="11" max="11"/>
    <col width="13" customWidth="1" min="12" max="12"/>
    <col width="12" customWidth="1" min="13" max="13"/>
    <col width="14" customWidth="1" min="14" max="14"/>
  </cols>
  <sheetData>
    <row r="1">
      <c r="A1" s="1" t="inlineStr">
        <is>
          <t>Descente ADA</t>
        </is>
      </c>
    </row>
    <row r="2">
      <c r="A2" s="2" t="inlineStr">
        <is>
          <t>Colonnes jaunes : a remplir quand l'achat est passe. Le reste est calcule.</t>
        </is>
      </c>
    </row>
    <row r="4">
      <c r="A4" s="28" t="inlineStr">
        <is>
          <t>Prix de reference</t>
        </is>
      </c>
      <c r="B4" s="62">
        <f>Reglages!B14</f>
        <v/>
      </c>
      <c r="D4" s="28" t="inlineStr">
        <is>
          <t>Date du premier achat</t>
        </is>
      </c>
      <c r="E4" s="52" t="n"/>
    </row>
    <row r="5">
      <c r="A5" s="28" t="inlineStr">
        <is>
          <t>Budget alloue</t>
        </is>
      </c>
      <c r="B5" s="53">
        <f>Reglages!E14</f>
        <v/>
      </c>
      <c r="D5" s="28" t="inlineStr">
        <is>
          <t>Jours ecoules</t>
        </is>
      </c>
      <c r="E5" s="54">
        <f>IF(E4="","",TODAY()-E4)</f>
        <v/>
      </c>
    </row>
    <row r="6">
      <c r="A6" s="28" t="inlineStr">
        <is>
          <t>Profondeur de l'echelle</t>
        </is>
      </c>
      <c r="B6" s="55">
        <f>Reglages!F14</f>
        <v/>
      </c>
      <c r="D6" s="28" t="inlineStr">
        <is>
          <t>Seuil d'abandon</t>
        </is>
      </c>
      <c r="E6" s="62">
        <f>B7*(1-0.15)</f>
        <v/>
      </c>
      <c r="F6" s="30" t="inlineStr">
        <is>
          <t>15 % sous le dernier palier. En dessous, on n'ajoute plus rien.</t>
        </is>
      </c>
    </row>
    <row r="7">
      <c r="A7" s="28" t="inlineStr">
        <is>
          <t>Prix du dernier palier</t>
        </is>
      </c>
      <c r="B7" s="62">
        <f>Reglages!J14</f>
        <v/>
      </c>
    </row>
    <row r="8">
      <c r="A8" s="28" t="inlineStr">
        <is>
          <t>Objectif net a la revente</t>
        </is>
      </c>
      <c r="B8" s="56">
        <f>Reglages!B6</f>
        <v/>
      </c>
    </row>
    <row r="9">
      <c r="A9" s="28" t="inlineStr">
        <is>
          <t>Prix actuel du marche</t>
        </is>
      </c>
      <c r="B9" s="45" t="n">
        <v>0.2173</v>
      </c>
    </row>
    <row r="12" ht="34" customHeight="1">
      <c r="A12" s="6" t="inlineStr">
        <is>
          <t>Palier</t>
        </is>
      </c>
      <c r="B12" s="6" t="inlineStr">
        <is>
          <t>Prix cible</t>
        </is>
      </c>
      <c r="C12" s="6" t="inlineStr">
        <is>
          <t>Mise prevue
(EUR)</t>
        </is>
      </c>
      <c r="D12" s="6" t="inlineStr">
        <is>
          <t>Fait ?
(1 = oui)</t>
        </is>
      </c>
      <c r="E12" s="6" t="inlineStr">
        <is>
          <t>Prix reellement
paye</t>
        </is>
      </c>
      <c r="F12" s="6" t="inlineStr">
        <is>
          <t>Montant reellement
investi (EUR)</t>
        </is>
      </c>
      <c r="G12" s="6" t="inlineStr">
        <is>
          <t>Unites
obtenues</t>
        </is>
      </c>
      <c r="H12" s="6" t="inlineStr">
        <is>
          <t>Cumul
investi</t>
        </is>
      </c>
      <c r="I12" s="6" t="inlineStr">
        <is>
          <t>Cumul
unites</t>
        </is>
      </c>
      <c r="J12" s="6" t="inlineStr">
        <is>
          <t>Prix de revient
moyen</t>
        </is>
      </c>
      <c r="K12" s="6" t="inlineStr">
        <is>
          <t>Prix de revente
(+2 % net)</t>
        </is>
      </c>
      <c r="L12" s="6" t="inlineStr">
        <is>
          <t>Valeur au
prix actuel</t>
        </is>
      </c>
      <c r="M12" s="6" t="inlineStr">
        <is>
          <t>P&amp;L latent</t>
        </is>
      </c>
      <c r="N12" s="6" t="inlineStr">
        <is>
          <t>Rebond requis
depuis ce palier</t>
        </is>
      </c>
    </row>
    <row r="13">
      <c r="A13" s="57" t="n">
        <v>1</v>
      </c>
      <c r="B13" s="16">
        <f>IF(1&gt;Reglages!$G$14,"",$B$4*(1-Reglages!$I$14*0))</f>
        <v/>
      </c>
      <c r="C13" s="8">
        <f>IF(1&gt;Reglages!$G$14,"",$B$5*Reglages!$H$14^0/SUMPRODUCT(Reglages!$H$14^(ROW(INDIRECT("1:"&amp;Reglages!$G$14))-1)))</f>
        <v/>
      </c>
      <c r="D13" s="39" t="n"/>
      <c r="E13" s="63" t="n"/>
      <c r="F13" s="58" t="n"/>
      <c r="G13" s="10">
        <f>IF(OR(D13&lt;&gt;1,E13="",E13=0),0,F13/E13*(1-Reglages!$B$5))</f>
        <v/>
      </c>
      <c r="H13" s="8">
        <f>SUM($F$13:F13)</f>
        <v/>
      </c>
      <c r="I13" s="10">
        <f>SUM($G$13:G13)</f>
        <v/>
      </c>
      <c r="J13" s="16">
        <f>IF(I13=0,"",H13/I13)</f>
        <v/>
      </c>
      <c r="K13" s="17">
        <f>IF(I13=0,"",J13*(1+$B$8)/(1-Reglages!$B$5))</f>
        <v/>
      </c>
      <c r="L13" s="8">
        <f>I13*$B$9</f>
        <v/>
      </c>
      <c r="M13" s="13">
        <f>IF(I13=0,"",L13-H13)</f>
        <v/>
      </c>
      <c r="N13" s="12">
        <f>IF(OR(I13=0,B13=""),"",K13/B13-1)</f>
        <v/>
      </c>
    </row>
    <row r="14">
      <c r="A14" s="57" t="n">
        <v>2</v>
      </c>
      <c r="B14" s="16">
        <f>IF(2&gt;Reglages!$G$14,"",$B$4*(1-Reglages!$I$14*1))</f>
        <v/>
      </c>
      <c r="C14" s="8">
        <f>IF(2&gt;Reglages!$G$14,"",$B$5*Reglages!$H$14^1/SUMPRODUCT(Reglages!$H$14^(ROW(INDIRECT("1:"&amp;Reglages!$G$14))-1)))</f>
        <v/>
      </c>
      <c r="D14" s="39" t="n"/>
      <c r="E14" s="63" t="n"/>
      <c r="F14" s="58" t="n"/>
      <c r="G14" s="10">
        <f>IF(OR(D14&lt;&gt;1,E14="",E14=0),0,F14/E14*(1-Reglages!$B$5))</f>
        <v/>
      </c>
      <c r="H14" s="8">
        <f>SUM($F$13:F14)</f>
        <v/>
      </c>
      <c r="I14" s="10">
        <f>SUM($G$13:G14)</f>
        <v/>
      </c>
      <c r="J14" s="16">
        <f>IF(I14=0,"",H14/I14)</f>
        <v/>
      </c>
      <c r="K14" s="17">
        <f>IF(I14=0,"",J14*(1+$B$8)/(1-Reglages!$B$5))</f>
        <v/>
      </c>
      <c r="L14" s="8">
        <f>I14*$B$9</f>
        <v/>
      </c>
      <c r="M14" s="13">
        <f>IF(I14=0,"",L14-H14)</f>
        <v/>
      </c>
      <c r="N14" s="12">
        <f>IF(OR(I14=0,B14=""),"",K14/B14-1)</f>
        <v/>
      </c>
    </row>
    <row r="15">
      <c r="A15" s="57" t="n">
        <v>3</v>
      </c>
      <c r="B15" s="16">
        <f>IF(3&gt;Reglages!$G$14,"",$B$4*(1-Reglages!$I$14*2))</f>
        <v/>
      </c>
      <c r="C15" s="8">
        <f>IF(3&gt;Reglages!$G$14,"",$B$5*Reglages!$H$14^2/SUMPRODUCT(Reglages!$H$14^(ROW(INDIRECT("1:"&amp;Reglages!$G$14))-1)))</f>
        <v/>
      </c>
      <c r="D15" s="39" t="n"/>
      <c r="E15" s="63" t="n"/>
      <c r="F15" s="58" t="n"/>
      <c r="G15" s="10">
        <f>IF(OR(D15&lt;&gt;1,E15="",E15=0),0,F15/E15*(1-Reglages!$B$5))</f>
        <v/>
      </c>
      <c r="H15" s="8">
        <f>SUM($F$13:F15)</f>
        <v/>
      </c>
      <c r="I15" s="10">
        <f>SUM($G$13:G15)</f>
        <v/>
      </c>
      <c r="J15" s="16">
        <f>IF(I15=0,"",H15/I15)</f>
        <v/>
      </c>
      <c r="K15" s="17">
        <f>IF(I15=0,"",J15*(1+$B$8)/(1-Reglages!$B$5))</f>
        <v/>
      </c>
      <c r="L15" s="8">
        <f>I15*$B$9</f>
        <v/>
      </c>
      <c r="M15" s="13">
        <f>IF(I15=0,"",L15-H15)</f>
        <v/>
      </c>
      <c r="N15" s="12">
        <f>IF(OR(I15=0,B15=""),"",K15/B15-1)</f>
        <v/>
      </c>
    </row>
    <row r="16">
      <c r="A16" s="57" t="n">
        <v>4</v>
      </c>
      <c r="B16" s="16">
        <f>IF(4&gt;Reglages!$G$14,"",$B$4*(1-Reglages!$I$14*3))</f>
        <v/>
      </c>
      <c r="C16" s="8">
        <f>IF(4&gt;Reglages!$G$14,"",$B$5*Reglages!$H$14^3/SUMPRODUCT(Reglages!$H$14^(ROW(INDIRECT("1:"&amp;Reglages!$G$14))-1)))</f>
        <v/>
      </c>
      <c r="D16" s="39" t="n"/>
      <c r="E16" s="63" t="n"/>
      <c r="F16" s="58" t="n"/>
      <c r="G16" s="10">
        <f>IF(OR(D16&lt;&gt;1,E16="",E16=0),0,F16/E16*(1-Reglages!$B$5))</f>
        <v/>
      </c>
      <c r="H16" s="8">
        <f>SUM($F$13:F16)</f>
        <v/>
      </c>
      <c r="I16" s="10">
        <f>SUM($G$13:G16)</f>
        <v/>
      </c>
      <c r="J16" s="16">
        <f>IF(I16=0,"",H16/I16)</f>
        <v/>
      </c>
      <c r="K16" s="17">
        <f>IF(I16=0,"",J16*(1+$B$8)/(1-Reglages!$B$5))</f>
        <v/>
      </c>
      <c r="L16" s="8">
        <f>I16*$B$9</f>
        <v/>
      </c>
      <c r="M16" s="13">
        <f>IF(I16=0,"",L16-H16)</f>
        <v/>
      </c>
      <c r="N16" s="12">
        <f>IF(OR(I16=0,B16=""),"",K16/B16-1)</f>
        <v/>
      </c>
    </row>
    <row r="17">
      <c r="A17" s="57" t="n">
        <v>5</v>
      </c>
      <c r="B17" s="16">
        <f>IF(5&gt;Reglages!$G$14,"",$B$4*(1-Reglages!$I$14*4))</f>
        <v/>
      </c>
      <c r="C17" s="8">
        <f>IF(5&gt;Reglages!$G$14,"",$B$5*Reglages!$H$14^4/SUMPRODUCT(Reglages!$H$14^(ROW(INDIRECT("1:"&amp;Reglages!$G$14))-1)))</f>
        <v/>
      </c>
      <c r="D17" s="39" t="n"/>
      <c r="E17" s="63" t="n"/>
      <c r="F17" s="58" t="n"/>
      <c r="G17" s="10">
        <f>IF(OR(D17&lt;&gt;1,E17="",E17=0),0,F17/E17*(1-Reglages!$B$5))</f>
        <v/>
      </c>
      <c r="H17" s="8">
        <f>SUM($F$13:F17)</f>
        <v/>
      </c>
      <c r="I17" s="10">
        <f>SUM($G$13:G17)</f>
        <v/>
      </c>
      <c r="J17" s="16">
        <f>IF(I17=0,"",H17/I17)</f>
        <v/>
      </c>
      <c r="K17" s="17">
        <f>IF(I17=0,"",J17*(1+$B$8)/(1-Reglages!$B$5))</f>
        <v/>
      </c>
      <c r="L17" s="8">
        <f>I17*$B$9</f>
        <v/>
      </c>
      <c r="M17" s="13">
        <f>IF(I17=0,"",L17-H17)</f>
        <v/>
      </c>
      <c r="N17" s="12">
        <f>IF(OR(I17=0,B17=""),"",K17/B17-1)</f>
        <v/>
      </c>
    </row>
    <row r="18">
      <c r="A18" s="57" t="n">
        <v>6</v>
      </c>
      <c r="B18" s="16">
        <f>IF(6&gt;Reglages!$G$14,"",$B$4*(1-Reglages!$I$14*5))</f>
        <v/>
      </c>
      <c r="C18" s="8">
        <f>IF(6&gt;Reglages!$G$14,"",$B$5*Reglages!$H$14^5/SUMPRODUCT(Reglages!$H$14^(ROW(INDIRECT("1:"&amp;Reglages!$G$14))-1)))</f>
        <v/>
      </c>
      <c r="D18" s="39" t="n"/>
      <c r="E18" s="63" t="n"/>
      <c r="F18" s="58" t="n"/>
      <c r="G18" s="10">
        <f>IF(OR(D18&lt;&gt;1,E18="",E18=0),0,F18/E18*(1-Reglages!$B$5))</f>
        <v/>
      </c>
      <c r="H18" s="8">
        <f>SUM($F$13:F18)</f>
        <v/>
      </c>
      <c r="I18" s="10">
        <f>SUM($G$13:G18)</f>
        <v/>
      </c>
      <c r="J18" s="16">
        <f>IF(I18=0,"",H18/I18)</f>
        <v/>
      </c>
      <c r="K18" s="17">
        <f>IF(I18=0,"",J18*(1+$B$8)/(1-Reglages!$B$5))</f>
        <v/>
      </c>
      <c r="L18" s="8">
        <f>I18*$B$9</f>
        <v/>
      </c>
      <c r="M18" s="13">
        <f>IF(I18=0,"",L18-H18)</f>
        <v/>
      </c>
      <c r="N18" s="12">
        <f>IF(OR(I18=0,B18=""),"",K18/B18-1)</f>
        <v/>
      </c>
    </row>
    <row r="19">
      <c r="A19" s="57" t="n">
        <v>7</v>
      </c>
      <c r="B19" s="16">
        <f>IF(7&gt;Reglages!$G$14,"",$B$4*(1-Reglages!$I$14*6))</f>
        <v/>
      </c>
      <c r="C19" s="8">
        <f>IF(7&gt;Reglages!$G$14,"",$B$5*Reglages!$H$14^6/SUMPRODUCT(Reglages!$H$14^(ROW(INDIRECT("1:"&amp;Reglages!$G$14))-1)))</f>
        <v/>
      </c>
      <c r="D19" s="39" t="n"/>
      <c r="E19" s="63" t="n"/>
      <c r="F19" s="58" t="n"/>
      <c r="G19" s="10">
        <f>IF(OR(D19&lt;&gt;1,E19="",E19=0),0,F19/E19*(1-Reglages!$B$5))</f>
        <v/>
      </c>
      <c r="H19" s="8">
        <f>SUM($F$13:F19)</f>
        <v/>
      </c>
      <c r="I19" s="10">
        <f>SUM($G$13:G19)</f>
        <v/>
      </c>
      <c r="J19" s="16">
        <f>IF(I19=0,"",H19/I19)</f>
        <v/>
      </c>
      <c r="K19" s="17">
        <f>IF(I19=0,"",J19*(1+$B$8)/(1-Reglages!$B$5))</f>
        <v/>
      </c>
      <c r="L19" s="8">
        <f>I19*$B$9</f>
        <v/>
      </c>
      <c r="M19" s="13">
        <f>IF(I19=0,"",L19-H19)</f>
        <v/>
      </c>
      <c r="N19" s="12">
        <f>IF(OR(I19=0,B19=""),"",K19/B19-1)</f>
        <v/>
      </c>
    </row>
    <row r="20">
      <c r="A20" s="57" t="n">
        <v>8</v>
      </c>
      <c r="B20" s="16">
        <f>IF(8&gt;Reglages!$G$14,"",$B$4*(1-Reglages!$I$14*7))</f>
        <v/>
      </c>
      <c r="C20" s="8">
        <f>IF(8&gt;Reglages!$G$14,"",$B$5*Reglages!$H$14^7/SUMPRODUCT(Reglages!$H$14^(ROW(INDIRECT("1:"&amp;Reglages!$G$14))-1)))</f>
        <v/>
      </c>
      <c r="D20" s="39" t="n"/>
      <c r="E20" s="63" t="n"/>
      <c r="F20" s="58" t="n"/>
      <c r="G20" s="10">
        <f>IF(OR(D20&lt;&gt;1,E20="",E20=0),0,F20/E20*(1-Reglages!$B$5))</f>
        <v/>
      </c>
      <c r="H20" s="8">
        <f>SUM($F$13:F20)</f>
        <v/>
      </c>
      <c r="I20" s="10">
        <f>SUM($G$13:G20)</f>
        <v/>
      </c>
      <c r="J20" s="16">
        <f>IF(I20=0,"",H20/I20)</f>
        <v/>
      </c>
      <c r="K20" s="17">
        <f>IF(I20=0,"",J20*(1+$B$8)/(1-Reglages!$B$5))</f>
        <v/>
      </c>
      <c r="L20" s="8">
        <f>I20*$B$9</f>
        <v/>
      </c>
      <c r="M20" s="13">
        <f>IF(I20=0,"",L20-H20)</f>
        <v/>
      </c>
      <c r="N20" s="12">
        <f>IF(OR(I20=0,B20=""),"",K20/B20-1)</f>
        <v/>
      </c>
    </row>
    <row r="21">
      <c r="A21" s="57" t="n">
        <v>9</v>
      </c>
      <c r="B21" s="16">
        <f>IF(9&gt;Reglages!$G$14,"",$B$4*(1-Reglages!$I$14*8))</f>
        <v/>
      </c>
      <c r="C21" s="8">
        <f>IF(9&gt;Reglages!$G$14,"",$B$5*Reglages!$H$14^8/SUMPRODUCT(Reglages!$H$14^(ROW(INDIRECT("1:"&amp;Reglages!$G$14))-1)))</f>
        <v/>
      </c>
      <c r="D21" s="39" t="n"/>
      <c r="E21" s="63" t="n"/>
      <c r="F21" s="58" t="n"/>
      <c r="G21" s="10">
        <f>IF(OR(D21&lt;&gt;1,E21="",E21=0),0,F21/E21*(1-Reglages!$B$5))</f>
        <v/>
      </c>
      <c r="H21" s="8">
        <f>SUM($F$13:F21)</f>
        <v/>
      </c>
      <c r="I21" s="10">
        <f>SUM($G$13:G21)</f>
        <v/>
      </c>
      <c r="J21" s="16">
        <f>IF(I21=0,"",H21/I21)</f>
        <v/>
      </c>
      <c r="K21" s="17">
        <f>IF(I21=0,"",J21*(1+$B$8)/(1-Reglages!$B$5))</f>
        <v/>
      </c>
      <c r="L21" s="8">
        <f>I21*$B$9</f>
        <v/>
      </c>
      <c r="M21" s="13">
        <f>IF(I21=0,"",L21-H21)</f>
        <v/>
      </c>
      <c r="N21" s="12">
        <f>IF(OR(I21=0,B21=""),"",K21/B21-1)</f>
        <v/>
      </c>
    </row>
    <row r="22">
      <c r="A22" s="57" t="n">
        <v>10</v>
      </c>
      <c r="B22" s="16">
        <f>IF(10&gt;Reglages!$G$14,"",$B$4*(1-Reglages!$I$14*9))</f>
        <v/>
      </c>
      <c r="C22" s="8">
        <f>IF(10&gt;Reglages!$G$14,"",$B$5*Reglages!$H$14^9/SUMPRODUCT(Reglages!$H$14^(ROW(INDIRECT("1:"&amp;Reglages!$G$14))-1)))</f>
        <v/>
      </c>
      <c r="D22" s="39" t="n"/>
      <c r="E22" s="63" t="n"/>
      <c r="F22" s="58" t="n"/>
      <c r="G22" s="10">
        <f>IF(OR(D22&lt;&gt;1,E22="",E22=0),0,F22/E22*(1-Reglages!$B$5))</f>
        <v/>
      </c>
      <c r="H22" s="8">
        <f>SUM($F$13:F22)</f>
        <v/>
      </c>
      <c r="I22" s="10">
        <f>SUM($G$13:G22)</f>
        <v/>
      </c>
      <c r="J22" s="16">
        <f>IF(I22=0,"",H22/I22)</f>
        <v/>
      </c>
      <c r="K22" s="17">
        <f>IF(I22=0,"",J22*(1+$B$8)/(1-Reglages!$B$5))</f>
        <v/>
      </c>
      <c r="L22" s="8">
        <f>I22*$B$9</f>
        <v/>
      </c>
      <c r="M22" s="13">
        <f>IF(I22=0,"",L22-H22)</f>
        <v/>
      </c>
      <c r="N22" s="12">
        <f>IF(OR(I22=0,B22=""),"",K22/B22-1)</f>
        <v/>
      </c>
    </row>
    <row r="23">
      <c r="A23" s="57" t="n">
        <v>11</v>
      </c>
      <c r="B23" s="16">
        <f>IF(11&gt;Reglages!$G$14,"",$B$4*(1-Reglages!$I$14*10))</f>
        <v/>
      </c>
      <c r="C23" s="8">
        <f>IF(11&gt;Reglages!$G$14,"",$B$5*Reglages!$H$14^10/SUMPRODUCT(Reglages!$H$14^(ROW(INDIRECT("1:"&amp;Reglages!$G$14))-1)))</f>
        <v/>
      </c>
      <c r="D23" s="39" t="n"/>
      <c r="E23" s="63" t="n"/>
      <c r="F23" s="58" t="n"/>
      <c r="G23" s="10">
        <f>IF(OR(D23&lt;&gt;1,E23="",E23=0),0,F23/E23*(1-Reglages!$B$5))</f>
        <v/>
      </c>
      <c r="H23" s="8">
        <f>SUM($F$13:F23)</f>
        <v/>
      </c>
      <c r="I23" s="10">
        <f>SUM($G$13:G23)</f>
        <v/>
      </c>
      <c r="J23" s="16">
        <f>IF(I23=0,"",H23/I23)</f>
        <v/>
      </c>
      <c r="K23" s="17">
        <f>IF(I23=0,"",J23*(1+$B$8)/(1-Reglages!$B$5))</f>
        <v/>
      </c>
      <c r="L23" s="8">
        <f>I23*$B$9</f>
        <v/>
      </c>
      <c r="M23" s="13">
        <f>IF(I23=0,"",L23-H23)</f>
        <v/>
      </c>
      <c r="N23" s="12">
        <f>IF(OR(I23=0,B23=""),"",K23/B23-1)</f>
        <v/>
      </c>
    </row>
    <row r="24">
      <c r="A24" s="57" t="n">
        <v>12</v>
      </c>
      <c r="B24" s="16">
        <f>IF(12&gt;Reglages!$G$14,"",$B$4*(1-Reglages!$I$14*11))</f>
        <v/>
      </c>
      <c r="C24" s="8">
        <f>IF(12&gt;Reglages!$G$14,"",$B$5*Reglages!$H$14^11/SUMPRODUCT(Reglages!$H$14^(ROW(INDIRECT("1:"&amp;Reglages!$G$14))-1)))</f>
        <v/>
      </c>
      <c r="D24" s="39" t="n"/>
      <c r="E24" s="63" t="n"/>
      <c r="F24" s="58" t="n"/>
      <c r="G24" s="10">
        <f>IF(OR(D24&lt;&gt;1,E24="",E24=0),0,F24/E24*(1-Reglages!$B$5))</f>
        <v/>
      </c>
      <c r="H24" s="8">
        <f>SUM($F$13:F24)</f>
        <v/>
      </c>
      <c r="I24" s="10">
        <f>SUM($G$13:G24)</f>
        <v/>
      </c>
      <c r="J24" s="16">
        <f>IF(I24=0,"",H24/I24)</f>
        <v/>
      </c>
      <c r="K24" s="17">
        <f>IF(I24=0,"",J24*(1+$B$8)/(1-Reglages!$B$5))</f>
        <v/>
      </c>
      <c r="L24" s="8">
        <f>I24*$B$9</f>
        <v/>
      </c>
      <c r="M24" s="13">
        <f>IF(I24=0,"",L24-H24)</f>
        <v/>
      </c>
      <c r="N24" s="12">
        <f>IF(OR(I24=0,B24=""),"",K24/B24-1)</f>
        <v/>
      </c>
    </row>
    <row r="25">
      <c r="A25" s="57" t="n">
        <v>13</v>
      </c>
      <c r="B25" s="16">
        <f>IF(13&gt;Reglages!$G$14,"",$B$4*(1-Reglages!$I$14*12))</f>
        <v/>
      </c>
      <c r="C25" s="8">
        <f>IF(13&gt;Reglages!$G$14,"",$B$5*Reglages!$H$14^12/SUMPRODUCT(Reglages!$H$14^(ROW(INDIRECT("1:"&amp;Reglages!$G$14))-1)))</f>
        <v/>
      </c>
      <c r="D25" s="39" t="n"/>
      <c r="E25" s="63" t="n"/>
      <c r="F25" s="58" t="n"/>
      <c r="G25" s="10">
        <f>IF(OR(D25&lt;&gt;1,E25="",E25=0),0,F25/E25*(1-Reglages!$B$5))</f>
        <v/>
      </c>
      <c r="H25" s="8">
        <f>SUM($F$13:F25)</f>
        <v/>
      </c>
      <c r="I25" s="10">
        <f>SUM($G$13:G25)</f>
        <v/>
      </c>
      <c r="J25" s="16">
        <f>IF(I25=0,"",H25/I25)</f>
        <v/>
      </c>
      <c r="K25" s="17">
        <f>IF(I25=0,"",J25*(1+$B$8)/(1-Reglages!$B$5))</f>
        <v/>
      </c>
      <c r="L25" s="8">
        <f>I25*$B$9</f>
        <v/>
      </c>
      <c r="M25" s="13">
        <f>IF(I25=0,"",L25-H25)</f>
        <v/>
      </c>
      <c r="N25" s="12">
        <f>IF(OR(I25=0,B25=""),"",K25/B25-1)</f>
        <v/>
      </c>
    </row>
    <row r="26">
      <c r="A26" s="57" t="n">
        <v>14</v>
      </c>
      <c r="B26" s="16">
        <f>IF(14&gt;Reglages!$G$14,"",$B$4*(1-Reglages!$I$14*13))</f>
        <v/>
      </c>
      <c r="C26" s="8">
        <f>IF(14&gt;Reglages!$G$14,"",$B$5*Reglages!$H$14^13/SUMPRODUCT(Reglages!$H$14^(ROW(INDIRECT("1:"&amp;Reglages!$G$14))-1)))</f>
        <v/>
      </c>
      <c r="D26" s="39" t="n"/>
      <c r="E26" s="63" t="n"/>
      <c r="F26" s="58" t="n"/>
      <c r="G26" s="10">
        <f>IF(OR(D26&lt;&gt;1,E26="",E26=0),0,F26/E26*(1-Reglages!$B$5))</f>
        <v/>
      </c>
      <c r="H26" s="8">
        <f>SUM($F$13:F26)</f>
        <v/>
      </c>
      <c r="I26" s="10">
        <f>SUM($G$13:G26)</f>
        <v/>
      </c>
      <c r="J26" s="16">
        <f>IF(I26=0,"",H26/I26)</f>
        <v/>
      </c>
      <c r="K26" s="17">
        <f>IF(I26=0,"",J26*(1+$B$8)/(1-Reglages!$B$5))</f>
        <v/>
      </c>
      <c r="L26" s="8">
        <f>I26*$B$9</f>
        <v/>
      </c>
      <c r="M26" s="13">
        <f>IF(I26=0,"",L26-H26)</f>
        <v/>
      </c>
      <c r="N26" s="12">
        <f>IF(OR(I26=0,B26=""),"",K26/B26-1)</f>
        <v/>
      </c>
    </row>
    <row r="27">
      <c r="A27" s="6" t="inlineStr">
        <is>
          <t>TOTAL</t>
        </is>
      </c>
      <c r="B27" s="22" t="n"/>
      <c r="C27" s="23">
        <f>SUM(C13:C26)</f>
        <v/>
      </c>
      <c r="D27" s="22" t="n"/>
      <c r="E27" s="22" t="n"/>
      <c r="F27" s="23">
        <f>SUM(F13:F26)</f>
        <v/>
      </c>
      <c r="G27" s="59">
        <f>SUM(G13:G26)</f>
        <v/>
      </c>
      <c r="H27" s="22" t="n"/>
      <c r="I27" s="22" t="n"/>
      <c r="J27" s="64">
        <f>IF(G27=0,"",F27/G27)</f>
        <v/>
      </c>
      <c r="K27" s="64">
        <f>IF(G27=0,"",J27*(1+$B$8)/(1-Reglages!$B$5))</f>
        <v/>
      </c>
      <c r="L27" s="23">
        <f>G27*$B$9</f>
        <v/>
      </c>
      <c r="M27" s="25">
        <f>IF(G27=0,"",L27-F27)</f>
        <v/>
      </c>
      <c r="N27" s="60">
        <f>IF(OR(G27=0,$B$9=0),"",K27/$B$9-1)</f>
        <v/>
      </c>
    </row>
    <row r="29">
      <c r="A29" s="5" t="inlineStr">
        <is>
          <t>Si vous revendez tout maintenant au prix de revente</t>
        </is>
      </c>
      <c r="E29" s="61">
        <f>IF(G27=0,"",F27*$B$8)</f>
        <v/>
      </c>
    </row>
    <row r="30">
      <c r="A30" s="5" t="inlineStr">
        <is>
          <t>Etat de la descente</t>
        </is>
      </c>
      <c r="E30" s="7">
        <f>IF(G27=0,"pas commencee",IF($B$9&lt;=$E$6,"ABANDON : sous le seuil",IF(AND($E$5&lt;&gt;"",$E$5&gt;Reglages!$B$8),"BLOQUEE : trop longue",IF($B$9&gt;=K27,"REVENDRE MAINTENANT",IF(COUNT(D13:D26)-COUNTIF(D13:D26,1)=0,"echelle epuisee","en cours"))))</f>
        <v/>
      </c>
    </row>
  </sheetData>
  <conditionalFormatting sqref="E30">
    <cfRule type="expression" priority="1" dxfId="0">
      <formula>OR(E30="ABANDON : sous le seuil",E30="BLOQUEE : trop longue")</formula>
    </cfRule>
    <cfRule type="expression" priority="2" dxfId="1">
      <formula>E30="REVENDRE MAINTENANT"</formula>
    </cfRule>
  </conditionalFormatting>
  <conditionalFormatting sqref="M13:M27">
    <cfRule type="cellIs" priority="3" operator="lessThan" dxfId="3">
      <formula>0</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30"/>
  <sheetViews>
    <sheetView showGridLines="0" workbookViewId="0">
      <pane ySplit="12" topLeftCell="A13" activePane="bottomLeft" state="frozen"/>
      <selection pane="bottomLeft" activeCell="A1" sqref="A1"/>
    </sheetView>
  </sheetViews>
  <sheetFormatPr baseColWidth="8" defaultRowHeight="15"/>
  <cols>
    <col width="7" customWidth="1" min="1" max="1"/>
    <col width="13" customWidth="1" min="2" max="2"/>
    <col width="12" customWidth="1" min="3" max="3"/>
    <col width="9" customWidth="1" min="4" max="4"/>
    <col width="14" customWidth="1" min="5" max="5"/>
    <col width="15" customWidth="1" min="6" max="6"/>
    <col width="12" customWidth="1" min="7" max="7"/>
    <col width="12" customWidth="1" min="8" max="8"/>
    <col width="12" customWidth="1" min="9" max="9"/>
    <col width="14" customWidth="1" min="10" max="10"/>
    <col width="14" customWidth="1" min="11" max="11"/>
    <col width="13" customWidth="1" min="12" max="12"/>
    <col width="12" customWidth="1" min="13" max="13"/>
    <col width="14" customWidth="1" min="14" max="14"/>
  </cols>
  <sheetData>
    <row r="1">
      <c r="A1" s="1" t="inlineStr">
        <is>
          <t>Descente BCH</t>
        </is>
      </c>
    </row>
    <row r="2">
      <c r="A2" s="2" t="inlineStr">
        <is>
          <t>Colonnes jaunes : a remplir quand l'achat est passe. Le reste est calcule.</t>
        </is>
      </c>
    </row>
    <row r="4">
      <c r="A4" s="28" t="inlineStr">
        <is>
          <t>Prix de reference</t>
        </is>
      </c>
      <c r="B4" s="51">
        <f>Reglages!B15</f>
        <v/>
      </c>
      <c r="D4" s="28" t="inlineStr">
        <is>
          <t>Date du premier achat</t>
        </is>
      </c>
      <c r="E4" s="52" t="n"/>
    </row>
    <row r="5">
      <c r="A5" s="28" t="inlineStr">
        <is>
          <t>Budget alloue</t>
        </is>
      </c>
      <c r="B5" s="53">
        <f>Reglages!E15</f>
        <v/>
      </c>
      <c r="D5" s="28" t="inlineStr">
        <is>
          <t>Jours ecoules</t>
        </is>
      </c>
      <c r="E5" s="54">
        <f>IF(E4="","",TODAY()-E4)</f>
        <v/>
      </c>
    </row>
    <row r="6">
      <c r="A6" s="28" t="inlineStr">
        <is>
          <t>Profondeur de l'echelle</t>
        </is>
      </c>
      <c r="B6" s="55">
        <f>Reglages!F15</f>
        <v/>
      </c>
      <c r="D6" s="28" t="inlineStr">
        <is>
          <t>Seuil d'abandon</t>
        </is>
      </c>
      <c r="E6" s="51">
        <f>B7*(1-0.15)</f>
        <v/>
      </c>
      <c r="F6" s="30" t="inlineStr">
        <is>
          <t>15 % sous le dernier palier. En dessous, on n'ajoute plus rien.</t>
        </is>
      </c>
    </row>
    <row r="7">
      <c r="A7" s="28" t="inlineStr">
        <is>
          <t>Prix du dernier palier</t>
        </is>
      </c>
      <c r="B7" s="51">
        <f>Reglages!J15</f>
        <v/>
      </c>
    </row>
    <row r="8">
      <c r="A8" s="28" t="inlineStr">
        <is>
          <t>Objectif net a la revente</t>
        </is>
      </c>
      <c r="B8" s="56">
        <f>Reglages!B6</f>
        <v/>
      </c>
    </row>
    <row r="9">
      <c r="A9" s="28" t="inlineStr">
        <is>
          <t>Prix actuel du marche</t>
        </is>
      </c>
      <c r="B9" s="34" t="n">
        <v>256.6</v>
      </c>
    </row>
    <row r="12" ht="34" customHeight="1">
      <c r="A12" s="6" t="inlineStr">
        <is>
          <t>Palier</t>
        </is>
      </c>
      <c r="B12" s="6" t="inlineStr">
        <is>
          <t>Prix cible</t>
        </is>
      </c>
      <c r="C12" s="6" t="inlineStr">
        <is>
          <t>Mise prevue
(EUR)</t>
        </is>
      </c>
      <c r="D12" s="6" t="inlineStr">
        <is>
          <t>Fait ?
(1 = oui)</t>
        </is>
      </c>
      <c r="E12" s="6" t="inlineStr">
        <is>
          <t>Prix reellement
paye</t>
        </is>
      </c>
      <c r="F12" s="6" t="inlineStr">
        <is>
          <t>Montant reellement
investi (EUR)</t>
        </is>
      </c>
      <c r="G12" s="6" t="inlineStr">
        <is>
          <t>Unites
obtenues</t>
        </is>
      </c>
      <c r="H12" s="6" t="inlineStr">
        <is>
          <t>Cumul
investi</t>
        </is>
      </c>
      <c r="I12" s="6" t="inlineStr">
        <is>
          <t>Cumul
unites</t>
        </is>
      </c>
      <c r="J12" s="6" t="inlineStr">
        <is>
          <t>Prix de revient
moyen</t>
        </is>
      </c>
      <c r="K12" s="6" t="inlineStr">
        <is>
          <t>Prix de revente
(+2 % net)</t>
        </is>
      </c>
      <c r="L12" s="6" t="inlineStr">
        <is>
          <t>Valeur au
prix actuel</t>
        </is>
      </c>
      <c r="M12" s="6" t="inlineStr">
        <is>
          <t>P&amp;L latent</t>
        </is>
      </c>
      <c r="N12" s="6" t="inlineStr">
        <is>
          <t>Rebond requis
depuis ce palier</t>
        </is>
      </c>
    </row>
    <row r="13">
      <c r="A13" s="57" t="n">
        <v>1</v>
      </c>
      <c r="B13" s="8">
        <f>IF(1&gt;Reglages!$G$15,"",$B$4*(1-Reglages!$I$15*0))</f>
        <v/>
      </c>
      <c r="C13" s="8">
        <f>IF(1&gt;Reglages!$G$15,"",$B$5*Reglages!$H$15^0/SUMPRODUCT(Reglages!$H$15^(ROW(INDIRECT("1:"&amp;Reglages!$G$15))-1)))</f>
        <v/>
      </c>
      <c r="D13" s="39" t="n"/>
      <c r="E13" s="58" t="n"/>
      <c r="F13" s="58" t="n"/>
      <c r="G13" s="10">
        <f>IF(OR(D13&lt;&gt;1,E13="",E13=0),0,F13/E13*(1-Reglages!$B$5))</f>
        <v/>
      </c>
      <c r="H13" s="8">
        <f>SUM($F$13:F13)</f>
        <v/>
      </c>
      <c r="I13" s="10">
        <f>SUM($G$13:G13)</f>
        <v/>
      </c>
      <c r="J13" s="8">
        <f>IF(I13=0,"",H13/I13)</f>
        <v/>
      </c>
      <c r="K13" s="11">
        <f>IF(I13=0,"",J13*(1+$B$8)/(1-Reglages!$B$5))</f>
        <v/>
      </c>
      <c r="L13" s="8">
        <f>I13*$B$9</f>
        <v/>
      </c>
      <c r="M13" s="13">
        <f>IF(I13=0,"",L13-H13)</f>
        <v/>
      </c>
      <c r="N13" s="12">
        <f>IF(OR(I13=0,B13=""),"",K13/B13-1)</f>
        <v/>
      </c>
    </row>
    <row r="14">
      <c r="A14" s="57" t="n">
        <v>2</v>
      </c>
      <c r="B14" s="8">
        <f>IF(2&gt;Reglages!$G$15,"",$B$4*(1-Reglages!$I$15*1))</f>
        <v/>
      </c>
      <c r="C14" s="8">
        <f>IF(2&gt;Reglages!$G$15,"",$B$5*Reglages!$H$15^1/SUMPRODUCT(Reglages!$H$15^(ROW(INDIRECT("1:"&amp;Reglages!$G$15))-1)))</f>
        <v/>
      </c>
      <c r="D14" s="39" t="n"/>
      <c r="E14" s="58" t="n"/>
      <c r="F14" s="58" t="n"/>
      <c r="G14" s="10">
        <f>IF(OR(D14&lt;&gt;1,E14="",E14=0),0,F14/E14*(1-Reglages!$B$5))</f>
        <v/>
      </c>
      <c r="H14" s="8">
        <f>SUM($F$13:F14)</f>
        <v/>
      </c>
      <c r="I14" s="10">
        <f>SUM($G$13:G14)</f>
        <v/>
      </c>
      <c r="J14" s="8">
        <f>IF(I14=0,"",H14/I14)</f>
        <v/>
      </c>
      <c r="K14" s="11">
        <f>IF(I14=0,"",J14*(1+$B$8)/(1-Reglages!$B$5))</f>
        <v/>
      </c>
      <c r="L14" s="8">
        <f>I14*$B$9</f>
        <v/>
      </c>
      <c r="M14" s="13">
        <f>IF(I14=0,"",L14-H14)</f>
        <v/>
      </c>
      <c r="N14" s="12">
        <f>IF(OR(I14=0,B14=""),"",K14/B14-1)</f>
        <v/>
      </c>
    </row>
    <row r="15">
      <c r="A15" s="57" t="n">
        <v>3</v>
      </c>
      <c r="B15" s="8">
        <f>IF(3&gt;Reglages!$G$15,"",$B$4*(1-Reglages!$I$15*2))</f>
        <v/>
      </c>
      <c r="C15" s="8">
        <f>IF(3&gt;Reglages!$G$15,"",$B$5*Reglages!$H$15^2/SUMPRODUCT(Reglages!$H$15^(ROW(INDIRECT("1:"&amp;Reglages!$G$15))-1)))</f>
        <v/>
      </c>
      <c r="D15" s="39" t="n"/>
      <c r="E15" s="58" t="n"/>
      <c r="F15" s="58" t="n"/>
      <c r="G15" s="10">
        <f>IF(OR(D15&lt;&gt;1,E15="",E15=0),0,F15/E15*(1-Reglages!$B$5))</f>
        <v/>
      </c>
      <c r="H15" s="8">
        <f>SUM($F$13:F15)</f>
        <v/>
      </c>
      <c r="I15" s="10">
        <f>SUM($G$13:G15)</f>
        <v/>
      </c>
      <c r="J15" s="8">
        <f>IF(I15=0,"",H15/I15)</f>
        <v/>
      </c>
      <c r="K15" s="11">
        <f>IF(I15=0,"",J15*(1+$B$8)/(1-Reglages!$B$5))</f>
        <v/>
      </c>
      <c r="L15" s="8">
        <f>I15*$B$9</f>
        <v/>
      </c>
      <c r="M15" s="13">
        <f>IF(I15=0,"",L15-H15)</f>
        <v/>
      </c>
      <c r="N15" s="12">
        <f>IF(OR(I15=0,B15=""),"",K15/B15-1)</f>
        <v/>
      </c>
    </row>
    <row r="16">
      <c r="A16" s="57" t="n">
        <v>4</v>
      </c>
      <c r="B16" s="8">
        <f>IF(4&gt;Reglages!$G$15,"",$B$4*(1-Reglages!$I$15*3))</f>
        <v/>
      </c>
      <c r="C16" s="8">
        <f>IF(4&gt;Reglages!$G$15,"",$B$5*Reglages!$H$15^3/SUMPRODUCT(Reglages!$H$15^(ROW(INDIRECT("1:"&amp;Reglages!$G$15))-1)))</f>
        <v/>
      </c>
      <c r="D16" s="39" t="n"/>
      <c r="E16" s="58" t="n"/>
      <c r="F16" s="58" t="n"/>
      <c r="G16" s="10">
        <f>IF(OR(D16&lt;&gt;1,E16="",E16=0),0,F16/E16*(1-Reglages!$B$5))</f>
        <v/>
      </c>
      <c r="H16" s="8">
        <f>SUM($F$13:F16)</f>
        <v/>
      </c>
      <c r="I16" s="10">
        <f>SUM($G$13:G16)</f>
        <v/>
      </c>
      <c r="J16" s="8">
        <f>IF(I16=0,"",H16/I16)</f>
        <v/>
      </c>
      <c r="K16" s="11">
        <f>IF(I16=0,"",J16*(1+$B$8)/(1-Reglages!$B$5))</f>
        <v/>
      </c>
      <c r="L16" s="8">
        <f>I16*$B$9</f>
        <v/>
      </c>
      <c r="M16" s="13">
        <f>IF(I16=0,"",L16-H16)</f>
        <v/>
      </c>
      <c r="N16" s="12">
        <f>IF(OR(I16=0,B16=""),"",K16/B16-1)</f>
        <v/>
      </c>
    </row>
    <row r="17">
      <c r="A17" s="57" t="n">
        <v>5</v>
      </c>
      <c r="B17" s="8">
        <f>IF(5&gt;Reglages!$G$15,"",$B$4*(1-Reglages!$I$15*4))</f>
        <v/>
      </c>
      <c r="C17" s="8">
        <f>IF(5&gt;Reglages!$G$15,"",$B$5*Reglages!$H$15^4/SUMPRODUCT(Reglages!$H$15^(ROW(INDIRECT("1:"&amp;Reglages!$G$15))-1)))</f>
        <v/>
      </c>
      <c r="D17" s="39" t="n"/>
      <c r="E17" s="58" t="n"/>
      <c r="F17" s="58" t="n"/>
      <c r="G17" s="10">
        <f>IF(OR(D17&lt;&gt;1,E17="",E17=0),0,F17/E17*(1-Reglages!$B$5))</f>
        <v/>
      </c>
      <c r="H17" s="8">
        <f>SUM($F$13:F17)</f>
        <v/>
      </c>
      <c r="I17" s="10">
        <f>SUM($G$13:G17)</f>
        <v/>
      </c>
      <c r="J17" s="8">
        <f>IF(I17=0,"",H17/I17)</f>
        <v/>
      </c>
      <c r="K17" s="11">
        <f>IF(I17=0,"",J17*(1+$B$8)/(1-Reglages!$B$5))</f>
        <v/>
      </c>
      <c r="L17" s="8">
        <f>I17*$B$9</f>
        <v/>
      </c>
      <c r="M17" s="13">
        <f>IF(I17=0,"",L17-H17)</f>
        <v/>
      </c>
      <c r="N17" s="12">
        <f>IF(OR(I17=0,B17=""),"",K17/B17-1)</f>
        <v/>
      </c>
    </row>
    <row r="18">
      <c r="A18" s="57" t="n">
        <v>6</v>
      </c>
      <c r="B18" s="8">
        <f>IF(6&gt;Reglages!$G$15,"",$B$4*(1-Reglages!$I$15*5))</f>
        <v/>
      </c>
      <c r="C18" s="8">
        <f>IF(6&gt;Reglages!$G$15,"",$B$5*Reglages!$H$15^5/SUMPRODUCT(Reglages!$H$15^(ROW(INDIRECT("1:"&amp;Reglages!$G$15))-1)))</f>
        <v/>
      </c>
      <c r="D18" s="39" t="n"/>
      <c r="E18" s="58" t="n"/>
      <c r="F18" s="58" t="n"/>
      <c r="G18" s="10">
        <f>IF(OR(D18&lt;&gt;1,E18="",E18=0),0,F18/E18*(1-Reglages!$B$5))</f>
        <v/>
      </c>
      <c r="H18" s="8">
        <f>SUM($F$13:F18)</f>
        <v/>
      </c>
      <c r="I18" s="10">
        <f>SUM($G$13:G18)</f>
        <v/>
      </c>
      <c r="J18" s="8">
        <f>IF(I18=0,"",H18/I18)</f>
        <v/>
      </c>
      <c r="K18" s="11">
        <f>IF(I18=0,"",J18*(1+$B$8)/(1-Reglages!$B$5))</f>
        <v/>
      </c>
      <c r="L18" s="8">
        <f>I18*$B$9</f>
        <v/>
      </c>
      <c r="M18" s="13">
        <f>IF(I18=0,"",L18-H18)</f>
        <v/>
      </c>
      <c r="N18" s="12">
        <f>IF(OR(I18=0,B18=""),"",K18/B18-1)</f>
        <v/>
      </c>
    </row>
    <row r="19">
      <c r="A19" s="57" t="n">
        <v>7</v>
      </c>
      <c r="B19" s="8">
        <f>IF(7&gt;Reglages!$G$15,"",$B$4*(1-Reglages!$I$15*6))</f>
        <v/>
      </c>
      <c r="C19" s="8">
        <f>IF(7&gt;Reglages!$G$15,"",$B$5*Reglages!$H$15^6/SUMPRODUCT(Reglages!$H$15^(ROW(INDIRECT("1:"&amp;Reglages!$G$15))-1)))</f>
        <v/>
      </c>
      <c r="D19" s="39" t="n"/>
      <c r="E19" s="58" t="n"/>
      <c r="F19" s="58" t="n"/>
      <c r="G19" s="10">
        <f>IF(OR(D19&lt;&gt;1,E19="",E19=0),0,F19/E19*(1-Reglages!$B$5))</f>
        <v/>
      </c>
      <c r="H19" s="8">
        <f>SUM($F$13:F19)</f>
        <v/>
      </c>
      <c r="I19" s="10">
        <f>SUM($G$13:G19)</f>
        <v/>
      </c>
      <c r="J19" s="8">
        <f>IF(I19=0,"",H19/I19)</f>
        <v/>
      </c>
      <c r="K19" s="11">
        <f>IF(I19=0,"",J19*(1+$B$8)/(1-Reglages!$B$5))</f>
        <v/>
      </c>
      <c r="L19" s="8">
        <f>I19*$B$9</f>
        <v/>
      </c>
      <c r="M19" s="13">
        <f>IF(I19=0,"",L19-H19)</f>
        <v/>
      </c>
      <c r="N19" s="12">
        <f>IF(OR(I19=0,B19=""),"",K19/B19-1)</f>
        <v/>
      </c>
    </row>
    <row r="20">
      <c r="A20" s="57" t="n">
        <v>8</v>
      </c>
      <c r="B20" s="8">
        <f>IF(8&gt;Reglages!$G$15,"",$B$4*(1-Reglages!$I$15*7))</f>
        <v/>
      </c>
      <c r="C20" s="8">
        <f>IF(8&gt;Reglages!$G$15,"",$B$5*Reglages!$H$15^7/SUMPRODUCT(Reglages!$H$15^(ROW(INDIRECT("1:"&amp;Reglages!$G$15))-1)))</f>
        <v/>
      </c>
      <c r="D20" s="39" t="n"/>
      <c r="E20" s="58" t="n"/>
      <c r="F20" s="58" t="n"/>
      <c r="G20" s="10">
        <f>IF(OR(D20&lt;&gt;1,E20="",E20=0),0,F20/E20*(1-Reglages!$B$5))</f>
        <v/>
      </c>
      <c r="H20" s="8">
        <f>SUM($F$13:F20)</f>
        <v/>
      </c>
      <c r="I20" s="10">
        <f>SUM($G$13:G20)</f>
        <v/>
      </c>
      <c r="J20" s="8">
        <f>IF(I20=0,"",H20/I20)</f>
        <v/>
      </c>
      <c r="K20" s="11">
        <f>IF(I20=0,"",J20*(1+$B$8)/(1-Reglages!$B$5))</f>
        <v/>
      </c>
      <c r="L20" s="8">
        <f>I20*$B$9</f>
        <v/>
      </c>
      <c r="M20" s="13">
        <f>IF(I20=0,"",L20-H20)</f>
        <v/>
      </c>
      <c r="N20" s="12">
        <f>IF(OR(I20=0,B20=""),"",K20/B20-1)</f>
        <v/>
      </c>
    </row>
    <row r="21">
      <c r="A21" s="57" t="n">
        <v>9</v>
      </c>
      <c r="B21" s="8">
        <f>IF(9&gt;Reglages!$G$15,"",$B$4*(1-Reglages!$I$15*8))</f>
        <v/>
      </c>
      <c r="C21" s="8">
        <f>IF(9&gt;Reglages!$G$15,"",$B$5*Reglages!$H$15^8/SUMPRODUCT(Reglages!$H$15^(ROW(INDIRECT("1:"&amp;Reglages!$G$15))-1)))</f>
        <v/>
      </c>
      <c r="D21" s="39" t="n"/>
      <c r="E21" s="58" t="n"/>
      <c r="F21" s="58" t="n"/>
      <c r="G21" s="10">
        <f>IF(OR(D21&lt;&gt;1,E21="",E21=0),0,F21/E21*(1-Reglages!$B$5))</f>
        <v/>
      </c>
      <c r="H21" s="8">
        <f>SUM($F$13:F21)</f>
        <v/>
      </c>
      <c r="I21" s="10">
        <f>SUM($G$13:G21)</f>
        <v/>
      </c>
      <c r="J21" s="8">
        <f>IF(I21=0,"",H21/I21)</f>
        <v/>
      </c>
      <c r="K21" s="11">
        <f>IF(I21=0,"",J21*(1+$B$8)/(1-Reglages!$B$5))</f>
        <v/>
      </c>
      <c r="L21" s="8">
        <f>I21*$B$9</f>
        <v/>
      </c>
      <c r="M21" s="13">
        <f>IF(I21=0,"",L21-H21)</f>
        <v/>
      </c>
      <c r="N21" s="12">
        <f>IF(OR(I21=0,B21=""),"",K21/B21-1)</f>
        <v/>
      </c>
    </row>
    <row r="22">
      <c r="A22" s="57" t="n">
        <v>10</v>
      </c>
      <c r="B22" s="8">
        <f>IF(10&gt;Reglages!$G$15,"",$B$4*(1-Reglages!$I$15*9))</f>
        <v/>
      </c>
      <c r="C22" s="8">
        <f>IF(10&gt;Reglages!$G$15,"",$B$5*Reglages!$H$15^9/SUMPRODUCT(Reglages!$H$15^(ROW(INDIRECT("1:"&amp;Reglages!$G$15))-1)))</f>
        <v/>
      </c>
      <c r="D22" s="39" t="n"/>
      <c r="E22" s="58" t="n"/>
      <c r="F22" s="58" t="n"/>
      <c r="G22" s="10">
        <f>IF(OR(D22&lt;&gt;1,E22="",E22=0),0,F22/E22*(1-Reglages!$B$5))</f>
        <v/>
      </c>
      <c r="H22" s="8">
        <f>SUM($F$13:F22)</f>
        <v/>
      </c>
      <c r="I22" s="10">
        <f>SUM($G$13:G22)</f>
        <v/>
      </c>
      <c r="J22" s="8">
        <f>IF(I22=0,"",H22/I22)</f>
        <v/>
      </c>
      <c r="K22" s="11">
        <f>IF(I22=0,"",J22*(1+$B$8)/(1-Reglages!$B$5))</f>
        <v/>
      </c>
      <c r="L22" s="8">
        <f>I22*$B$9</f>
        <v/>
      </c>
      <c r="M22" s="13">
        <f>IF(I22=0,"",L22-H22)</f>
        <v/>
      </c>
      <c r="N22" s="12">
        <f>IF(OR(I22=0,B22=""),"",K22/B22-1)</f>
        <v/>
      </c>
    </row>
    <row r="23">
      <c r="A23" s="57" t="n">
        <v>11</v>
      </c>
      <c r="B23" s="8">
        <f>IF(11&gt;Reglages!$G$15,"",$B$4*(1-Reglages!$I$15*10))</f>
        <v/>
      </c>
      <c r="C23" s="8">
        <f>IF(11&gt;Reglages!$G$15,"",$B$5*Reglages!$H$15^10/SUMPRODUCT(Reglages!$H$15^(ROW(INDIRECT("1:"&amp;Reglages!$G$15))-1)))</f>
        <v/>
      </c>
      <c r="D23" s="39" t="n"/>
      <c r="E23" s="58" t="n"/>
      <c r="F23" s="58" t="n"/>
      <c r="G23" s="10">
        <f>IF(OR(D23&lt;&gt;1,E23="",E23=0),0,F23/E23*(1-Reglages!$B$5))</f>
        <v/>
      </c>
      <c r="H23" s="8">
        <f>SUM($F$13:F23)</f>
        <v/>
      </c>
      <c r="I23" s="10">
        <f>SUM($G$13:G23)</f>
        <v/>
      </c>
      <c r="J23" s="8">
        <f>IF(I23=0,"",H23/I23)</f>
        <v/>
      </c>
      <c r="K23" s="11">
        <f>IF(I23=0,"",J23*(1+$B$8)/(1-Reglages!$B$5))</f>
        <v/>
      </c>
      <c r="L23" s="8">
        <f>I23*$B$9</f>
        <v/>
      </c>
      <c r="M23" s="13">
        <f>IF(I23=0,"",L23-H23)</f>
        <v/>
      </c>
      <c r="N23" s="12">
        <f>IF(OR(I23=0,B23=""),"",K23/B23-1)</f>
        <v/>
      </c>
    </row>
    <row r="24">
      <c r="A24" s="57" t="n">
        <v>12</v>
      </c>
      <c r="B24" s="8">
        <f>IF(12&gt;Reglages!$G$15,"",$B$4*(1-Reglages!$I$15*11))</f>
        <v/>
      </c>
      <c r="C24" s="8">
        <f>IF(12&gt;Reglages!$G$15,"",$B$5*Reglages!$H$15^11/SUMPRODUCT(Reglages!$H$15^(ROW(INDIRECT("1:"&amp;Reglages!$G$15))-1)))</f>
        <v/>
      </c>
      <c r="D24" s="39" t="n"/>
      <c r="E24" s="58" t="n"/>
      <c r="F24" s="58" t="n"/>
      <c r="G24" s="10">
        <f>IF(OR(D24&lt;&gt;1,E24="",E24=0),0,F24/E24*(1-Reglages!$B$5))</f>
        <v/>
      </c>
      <c r="H24" s="8">
        <f>SUM($F$13:F24)</f>
        <v/>
      </c>
      <c r="I24" s="10">
        <f>SUM($G$13:G24)</f>
        <v/>
      </c>
      <c r="J24" s="8">
        <f>IF(I24=0,"",H24/I24)</f>
        <v/>
      </c>
      <c r="K24" s="11">
        <f>IF(I24=0,"",J24*(1+$B$8)/(1-Reglages!$B$5))</f>
        <v/>
      </c>
      <c r="L24" s="8">
        <f>I24*$B$9</f>
        <v/>
      </c>
      <c r="M24" s="13">
        <f>IF(I24=0,"",L24-H24)</f>
        <v/>
      </c>
      <c r="N24" s="12">
        <f>IF(OR(I24=0,B24=""),"",K24/B24-1)</f>
        <v/>
      </c>
    </row>
    <row r="25">
      <c r="A25" s="57" t="n">
        <v>13</v>
      </c>
      <c r="B25" s="8">
        <f>IF(13&gt;Reglages!$G$15,"",$B$4*(1-Reglages!$I$15*12))</f>
        <v/>
      </c>
      <c r="C25" s="8">
        <f>IF(13&gt;Reglages!$G$15,"",$B$5*Reglages!$H$15^12/SUMPRODUCT(Reglages!$H$15^(ROW(INDIRECT("1:"&amp;Reglages!$G$15))-1)))</f>
        <v/>
      </c>
      <c r="D25" s="39" t="n"/>
      <c r="E25" s="58" t="n"/>
      <c r="F25" s="58" t="n"/>
      <c r="G25" s="10">
        <f>IF(OR(D25&lt;&gt;1,E25="",E25=0),0,F25/E25*(1-Reglages!$B$5))</f>
        <v/>
      </c>
      <c r="H25" s="8">
        <f>SUM($F$13:F25)</f>
        <v/>
      </c>
      <c r="I25" s="10">
        <f>SUM($G$13:G25)</f>
        <v/>
      </c>
      <c r="J25" s="8">
        <f>IF(I25=0,"",H25/I25)</f>
        <v/>
      </c>
      <c r="K25" s="11">
        <f>IF(I25=0,"",J25*(1+$B$8)/(1-Reglages!$B$5))</f>
        <v/>
      </c>
      <c r="L25" s="8">
        <f>I25*$B$9</f>
        <v/>
      </c>
      <c r="M25" s="13">
        <f>IF(I25=0,"",L25-H25)</f>
        <v/>
      </c>
      <c r="N25" s="12">
        <f>IF(OR(I25=0,B25=""),"",K25/B25-1)</f>
        <v/>
      </c>
    </row>
    <row r="26">
      <c r="A26" s="57" t="n">
        <v>14</v>
      </c>
      <c r="B26" s="8">
        <f>IF(14&gt;Reglages!$G$15,"",$B$4*(1-Reglages!$I$15*13))</f>
        <v/>
      </c>
      <c r="C26" s="8">
        <f>IF(14&gt;Reglages!$G$15,"",$B$5*Reglages!$H$15^13/SUMPRODUCT(Reglages!$H$15^(ROW(INDIRECT("1:"&amp;Reglages!$G$15))-1)))</f>
        <v/>
      </c>
      <c r="D26" s="39" t="n"/>
      <c r="E26" s="58" t="n"/>
      <c r="F26" s="58" t="n"/>
      <c r="G26" s="10">
        <f>IF(OR(D26&lt;&gt;1,E26="",E26=0),0,F26/E26*(1-Reglages!$B$5))</f>
        <v/>
      </c>
      <c r="H26" s="8">
        <f>SUM($F$13:F26)</f>
        <v/>
      </c>
      <c r="I26" s="10">
        <f>SUM($G$13:G26)</f>
        <v/>
      </c>
      <c r="J26" s="8">
        <f>IF(I26=0,"",H26/I26)</f>
        <v/>
      </c>
      <c r="K26" s="11">
        <f>IF(I26=0,"",J26*(1+$B$8)/(1-Reglages!$B$5))</f>
        <v/>
      </c>
      <c r="L26" s="8">
        <f>I26*$B$9</f>
        <v/>
      </c>
      <c r="M26" s="13">
        <f>IF(I26=0,"",L26-H26)</f>
        <v/>
      </c>
      <c r="N26" s="12">
        <f>IF(OR(I26=0,B26=""),"",K26/B26-1)</f>
        <v/>
      </c>
    </row>
    <row r="27">
      <c r="A27" s="6" t="inlineStr">
        <is>
          <t>TOTAL</t>
        </is>
      </c>
      <c r="B27" s="22" t="n"/>
      <c r="C27" s="23">
        <f>SUM(C13:C26)</f>
        <v/>
      </c>
      <c r="D27" s="22" t="n"/>
      <c r="E27" s="22" t="n"/>
      <c r="F27" s="23">
        <f>SUM(F13:F26)</f>
        <v/>
      </c>
      <c r="G27" s="59">
        <f>SUM(G13:G26)</f>
        <v/>
      </c>
      <c r="H27" s="22" t="n"/>
      <c r="I27" s="22" t="n"/>
      <c r="J27" s="23">
        <f>IF(G27=0,"",F27/G27)</f>
        <v/>
      </c>
      <c r="K27" s="23">
        <f>IF(G27=0,"",J27*(1+$B$8)/(1-Reglages!$B$5))</f>
        <v/>
      </c>
      <c r="L27" s="23">
        <f>G27*$B$9</f>
        <v/>
      </c>
      <c r="M27" s="25">
        <f>IF(G27=0,"",L27-F27)</f>
        <v/>
      </c>
      <c r="N27" s="60">
        <f>IF(OR(G27=0,$B$9=0),"",K27/$B$9-1)</f>
        <v/>
      </c>
    </row>
    <row r="29">
      <c r="A29" s="5" t="inlineStr">
        <is>
          <t>Si vous revendez tout maintenant au prix de revente</t>
        </is>
      </c>
      <c r="E29" s="61">
        <f>IF(G27=0,"",F27*$B$8)</f>
        <v/>
      </c>
    </row>
    <row r="30">
      <c r="A30" s="5" t="inlineStr">
        <is>
          <t>Etat de la descente</t>
        </is>
      </c>
      <c r="E30" s="7">
        <f>IF(G27=0,"pas commencee",IF($B$9&lt;=$E$6,"ABANDON : sous le seuil",IF(AND($E$5&lt;&gt;"",$E$5&gt;Reglages!$B$8),"BLOQUEE : trop longue",IF($B$9&gt;=K27,"REVENDRE MAINTENANT",IF(COUNT(D13:D26)-COUNTIF(D13:D26,1)=0,"echelle epuisee","en cours"))))</f>
        <v/>
      </c>
    </row>
  </sheetData>
  <conditionalFormatting sqref="E30">
    <cfRule type="expression" priority="1" dxfId="0">
      <formula>OR(E30="ABANDON : sous le seuil",E30="BLOQUEE : trop longue")</formula>
    </cfRule>
    <cfRule type="expression" priority="2" dxfId="1">
      <formula>E30="REVENDRE MAINTENANT"</formula>
    </cfRule>
  </conditionalFormatting>
  <conditionalFormatting sqref="M13:M27">
    <cfRule type="cellIs" priority="3" operator="lessThan" dxfId="3">
      <formula>0</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30"/>
  <sheetViews>
    <sheetView showGridLines="0" workbookViewId="0">
      <pane ySplit="12" topLeftCell="A13" activePane="bottomLeft" state="frozen"/>
      <selection pane="bottomLeft" activeCell="A1" sqref="A1"/>
    </sheetView>
  </sheetViews>
  <sheetFormatPr baseColWidth="8" defaultRowHeight="15"/>
  <cols>
    <col width="7" customWidth="1" min="1" max="1"/>
    <col width="13" customWidth="1" min="2" max="2"/>
    <col width="12" customWidth="1" min="3" max="3"/>
    <col width="9" customWidth="1" min="4" max="4"/>
    <col width="14" customWidth="1" min="5" max="5"/>
    <col width="15" customWidth="1" min="6" max="6"/>
    <col width="12" customWidth="1" min="7" max="7"/>
    <col width="12" customWidth="1" min="8" max="8"/>
    <col width="12" customWidth="1" min="9" max="9"/>
    <col width="14" customWidth="1" min="10" max="10"/>
    <col width="14" customWidth="1" min="11" max="11"/>
    <col width="13" customWidth="1" min="12" max="12"/>
    <col width="12" customWidth="1" min="13" max="13"/>
    <col width="14" customWidth="1" min="14" max="14"/>
  </cols>
  <sheetData>
    <row r="1">
      <c r="A1" s="1" t="inlineStr">
        <is>
          <t>Descente DGB</t>
        </is>
      </c>
    </row>
    <row r="2">
      <c r="A2" s="2" t="inlineStr">
        <is>
          <t>Colonnes jaunes : a remplir quand l'achat est passe. Le reste est calcule.</t>
        </is>
      </c>
    </row>
    <row r="4">
      <c r="A4" s="28" t="inlineStr">
        <is>
          <t>Prix de reference</t>
        </is>
      </c>
      <c r="B4" s="65">
        <f>Reglages!B16</f>
        <v/>
      </c>
      <c r="D4" s="28" t="inlineStr">
        <is>
          <t>Date du premier achat</t>
        </is>
      </c>
      <c r="E4" s="52" t="n"/>
    </row>
    <row r="5">
      <c r="A5" s="28" t="inlineStr">
        <is>
          <t>Budget alloue</t>
        </is>
      </c>
      <c r="B5" s="53">
        <f>Reglages!E16</f>
        <v/>
      </c>
      <c r="D5" s="28" t="inlineStr">
        <is>
          <t>Jours ecoules</t>
        </is>
      </c>
      <c r="E5" s="54">
        <f>IF(E4="","",TODAY()-E4)</f>
        <v/>
      </c>
    </row>
    <row r="6">
      <c r="A6" s="28" t="inlineStr">
        <is>
          <t>Profondeur de l'echelle</t>
        </is>
      </c>
      <c r="B6" s="55">
        <f>Reglages!F16</f>
        <v/>
      </c>
      <c r="D6" s="28" t="inlineStr">
        <is>
          <t>Seuil d'abandon</t>
        </is>
      </c>
      <c r="E6" s="65">
        <f>B7*(1-0.15)</f>
        <v/>
      </c>
      <c r="F6" s="30" t="inlineStr">
        <is>
          <t>15 % sous le dernier palier. En dessous, on n'ajoute plus rien.</t>
        </is>
      </c>
    </row>
    <row r="7">
      <c r="A7" s="28" t="inlineStr">
        <is>
          <t>Prix du dernier palier</t>
        </is>
      </c>
      <c r="B7" s="65">
        <f>Reglages!J16</f>
        <v/>
      </c>
    </row>
    <row r="8">
      <c r="A8" s="28" t="inlineStr">
        <is>
          <t>Objectif net a la revente</t>
        </is>
      </c>
      <c r="B8" s="56">
        <f>Reglages!B6</f>
        <v/>
      </c>
    </row>
    <row r="9">
      <c r="A9" s="28" t="inlineStr">
        <is>
          <t>Prix actuel du marche</t>
        </is>
      </c>
      <c r="B9" s="47" t="n">
        <v>0.00507</v>
      </c>
    </row>
    <row r="12" ht="34" customHeight="1">
      <c r="A12" s="6" t="inlineStr">
        <is>
          <t>Palier</t>
        </is>
      </c>
      <c r="B12" s="6" t="inlineStr">
        <is>
          <t>Prix cible</t>
        </is>
      </c>
      <c r="C12" s="6" t="inlineStr">
        <is>
          <t>Mise prevue
(EUR)</t>
        </is>
      </c>
      <c r="D12" s="6" t="inlineStr">
        <is>
          <t>Fait ?
(1 = oui)</t>
        </is>
      </c>
      <c r="E12" s="6" t="inlineStr">
        <is>
          <t>Prix reellement
paye</t>
        </is>
      </c>
      <c r="F12" s="6" t="inlineStr">
        <is>
          <t>Montant reellement
investi (EUR)</t>
        </is>
      </c>
      <c r="G12" s="6" t="inlineStr">
        <is>
          <t>Unites
obtenues</t>
        </is>
      </c>
      <c r="H12" s="6" t="inlineStr">
        <is>
          <t>Cumul
investi</t>
        </is>
      </c>
      <c r="I12" s="6" t="inlineStr">
        <is>
          <t>Cumul
unites</t>
        </is>
      </c>
      <c r="J12" s="6" t="inlineStr">
        <is>
          <t>Prix de revient
moyen</t>
        </is>
      </c>
      <c r="K12" s="6" t="inlineStr">
        <is>
          <t>Prix de revente
(+2 % net)</t>
        </is>
      </c>
      <c r="L12" s="6" t="inlineStr">
        <is>
          <t>Valeur au
prix actuel</t>
        </is>
      </c>
      <c r="M12" s="6" t="inlineStr">
        <is>
          <t>P&amp;L latent</t>
        </is>
      </c>
      <c r="N12" s="6" t="inlineStr">
        <is>
          <t>Rebond requis
depuis ce palier</t>
        </is>
      </c>
    </row>
    <row r="13">
      <c r="A13" s="57" t="n">
        <v>1</v>
      </c>
      <c r="B13" s="18">
        <f>IF(1&gt;Reglages!$G$16,"",$B$4*(1-Reglages!$I$16*0))</f>
        <v/>
      </c>
      <c r="C13" s="8">
        <f>IF(1&gt;Reglages!$G$16,"",$B$5*Reglages!$H$16^0/SUMPRODUCT(Reglages!$H$16^(ROW(INDIRECT("1:"&amp;Reglages!$G$16))-1)))</f>
        <v/>
      </c>
      <c r="D13" s="39" t="n"/>
      <c r="E13" s="66" t="n"/>
      <c r="F13" s="58" t="n"/>
      <c r="G13" s="10">
        <f>IF(OR(D13&lt;&gt;1,E13="",E13=0),0,F13/E13*(1-Reglages!$B$5))</f>
        <v/>
      </c>
      <c r="H13" s="8">
        <f>SUM($F$13:F13)</f>
        <v/>
      </c>
      <c r="I13" s="10">
        <f>SUM($G$13:G13)</f>
        <v/>
      </c>
      <c r="J13" s="18">
        <f>IF(I13=0,"",H13/I13)</f>
        <v/>
      </c>
      <c r="K13" s="19">
        <f>IF(I13=0,"",J13*(1+$B$8)/(1-Reglages!$B$5))</f>
        <v/>
      </c>
      <c r="L13" s="8">
        <f>I13*$B$9</f>
        <v/>
      </c>
      <c r="M13" s="13">
        <f>IF(I13=0,"",L13-H13)</f>
        <v/>
      </c>
      <c r="N13" s="12">
        <f>IF(OR(I13=0,B13=""),"",K13/B13-1)</f>
        <v/>
      </c>
    </row>
    <row r="14">
      <c r="A14" s="57" t="n">
        <v>2</v>
      </c>
      <c r="B14" s="18">
        <f>IF(2&gt;Reglages!$G$16,"",$B$4*(1-Reglages!$I$16*1))</f>
        <v/>
      </c>
      <c r="C14" s="8">
        <f>IF(2&gt;Reglages!$G$16,"",$B$5*Reglages!$H$16^1/SUMPRODUCT(Reglages!$H$16^(ROW(INDIRECT("1:"&amp;Reglages!$G$16))-1)))</f>
        <v/>
      </c>
      <c r="D14" s="39" t="n"/>
      <c r="E14" s="66" t="n"/>
      <c r="F14" s="58" t="n"/>
      <c r="G14" s="10">
        <f>IF(OR(D14&lt;&gt;1,E14="",E14=0),0,F14/E14*(1-Reglages!$B$5))</f>
        <v/>
      </c>
      <c r="H14" s="8">
        <f>SUM($F$13:F14)</f>
        <v/>
      </c>
      <c r="I14" s="10">
        <f>SUM($G$13:G14)</f>
        <v/>
      </c>
      <c r="J14" s="18">
        <f>IF(I14=0,"",H14/I14)</f>
        <v/>
      </c>
      <c r="K14" s="19">
        <f>IF(I14=0,"",J14*(1+$B$8)/(1-Reglages!$B$5))</f>
        <v/>
      </c>
      <c r="L14" s="8">
        <f>I14*$B$9</f>
        <v/>
      </c>
      <c r="M14" s="13">
        <f>IF(I14=0,"",L14-H14)</f>
        <v/>
      </c>
      <c r="N14" s="12">
        <f>IF(OR(I14=0,B14=""),"",K14/B14-1)</f>
        <v/>
      </c>
    </row>
    <row r="15">
      <c r="A15" s="57" t="n">
        <v>3</v>
      </c>
      <c r="B15" s="18">
        <f>IF(3&gt;Reglages!$G$16,"",$B$4*(1-Reglages!$I$16*2))</f>
        <v/>
      </c>
      <c r="C15" s="8">
        <f>IF(3&gt;Reglages!$G$16,"",$B$5*Reglages!$H$16^2/SUMPRODUCT(Reglages!$H$16^(ROW(INDIRECT("1:"&amp;Reglages!$G$16))-1)))</f>
        <v/>
      </c>
      <c r="D15" s="39" t="n"/>
      <c r="E15" s="66" t="n"/>
      <c r="F15" s="58" t="n"/>
      <c r="G15" s="10">
        <f>IF(OR(D15&lt;&gt;1,E15="",E15=0),0,F15/E15*(1-Reglages!$B$5))</f>
        <v/>
      </c>
      <c r="H15" s="8">
        <f>SUM($F$13:F15)</f>
        <v/>
      </c>
      <c r="I15" s="10">
        <f>SUM($G$13:G15)</f>
        <v/>
      </c>
      <c r="J15" s="18">
        <f>IF(I15=0,"",H15/I15)</f>
        <v/>
      </c>
      <c r="K15" s="19">
        <f>IF(I15=0,"",J15*(1+$B$8)/(1-Reglages!$B$5))</f>
        <v/>
      </c>
      <c r="L15" s="8">
        <f>I15*$B$9</f>
        <v/>
      </c>
      <c r="M15" s="13">
        <f>IF(I15=0,"",L15-H15)</f>
        <v/>
      </c>
      <c r="N15" s="12">
        <f>IF(OR(I15=0,B15=""),"",K15/B15-1)</f>
        <v/>
      </c>
    </row>
    <row r="16">
      <c r="A16" s="57" t="n">
        <v>4</v>
      </c>
      <c r="B16" s="18">
        <f>IF(4&gt;Reglages!$G$16,"",$B$4*(1-Reglages!$I$16*3))</f>
        <v/>
      </c>
      <c r="C16" s="8">
        <f>IF(4&gt;Reglages!$G$16,"",$B$5*Reglages!$H$16^3/SUMPRODUCT(Reglages!$H$16^(ROW(INDIRECT("1:"&amp;Reglages!$G$16))-1)))</f>
        <v/>
      </c>
      <c r="D16" s="39" t="n"/>
      <c r="E16" s="66" t="n"/>
      <c r="F16" s="58" t="n"/>
      <c r="G16" s="10">
        <f>IF(OR(D16&lt;&gt;1,E16="",E16=0),0,F16/E16*(1-Reglages!$B$5))</f>
        <v/>
      </c>
      <c r="H16" s="8">
        <f>SUM($F$13:F16)</f>
        <v/>
      </c>
      <c r="I16" s="10">
        <f>SUM($G$13:G16)</f>
        <v/>
      </c>
      <c r="J16" s="18">
        <f>IF(I16=0,"",H16/I16)</f>
        <v/>
      </c>
      <c r="K16" s="19">
        <f>IF(I16=0,"",J16*(1+$B$8)/(1-Reglages!$B$5))</f>
        <v/>
      </c>
      <c r="L16" s="8">
        <f>I16*$B$9</f>
        <v/>
      </c>
      <c r="M16" s="13">
        <f>IF(I16=0,"",L16-H16)</f>
        <v/>
      </c>
      <c r="N16" s="12">
        <f>IF(OR(I16=0,B16=""),"",K16/B16-1)</f>
        <v/>
      </c>
    </row>
    <row r="17">
      <c r="A17" s="57" t="n">
        <v>5</v>
      </c>
      <c r="B17" s="18">
        <f>IF(5&gt;Reglages!$G$16,"",$B$4*(1-Reglages!$I$16*4))</f>
        <v/>
      </c>
      <c r="C17" s="8">
        <f>IF(5&gt;Reglages!$G$16,"",$B$5*Reglages!$H$16^4/SUMPRODUCT(Reglages!$H$16^(ROW(INDIRECT("1:"&amp;Reglages!$G$16))-1)))</f>
        <v/>
      </c>
      <c r="D17" s="39" t="n"/>
      <c r="E17" s="66" t="n"/>
      <c r="F17" s="58" t="n"/>
      <c r="G17" s="10">
        <f>IF(OR(D17&lt;&gt;1,E17="",E17=0),0,F17/E17*(1-Reglages!$B$5))</f>
        <v/>
      </c>
      <c r="H17" s="8">
        <f>SUM($F$13:F17)</f>
        <v/>
      </c>
      <c r="I17" s="10">
        <f>SUM($G$13:G17)</f>
        <v/>
      </c>
      <c r="J17" s="18">
        <f>IF(I17=0,"",H17/I17)</f>
        <v/>
      </c>
      <c r="K17" s="19">
        <f>IF(I17=0,"",J17*(1+$B$8)/(1-Reglages!$B$5))</f>
        <v/>
      </c>
      <c r="L17" s="8">
        <f>I17*$B$9</f>
        <v/>
      </c>
      <c r="M17" s="13">
        <f>IF(I17=0,"",L17-H17)</f>
        <v/>
      </c>
      <c r="N17" s="12">
        <f>IF(OR(I17=0,B17=""),"",K17/B17-1)</f>
        <v/>
      </c>
    </row>
    <row r="18">
      <c r="A18" s="57" t="n">
        <v>6</v>
      </c>
      <c r="B18" s="18">
        <f>IF(6&gt;Reglages!$G$16,"",$B$4*(1-Reglages!$I$16*5))</f>
        <v/>
      </c>
      <c r="C18" s="8">
        <f>IF(6&gt;Reglages!$G$16,"",$B$5*Reglages!$H$16^5/SUMPRODUCT(Reglages!$H$16^(ROW(INDIRECT("1:"&amp;Reglages!$G$16))-1)))</f>
        <v/>
      </c>
      <c r="D18" s="39" t="n"/>
      <c r="E18" s="66" t="n"/>
      <c r="F18" s="58" t="n"/>
      <c r="G18" s="10">
        <f>IF(OR(D18&lt;&gt;1,E18="",E18=0),0,F18/E18*(1-Reglages!$B$5))</f>
        <v/>
      </c>
      <c r="H18" s="8">
        <f>SUM($F$13:F18)</f>
        <v/>
      </c>
      <c r="I18" s="10">
        <f>SUM($G$13:G18)</f>
        <v/>
      </c>
      <c r="J18" s="18">
        <f>IF(I18=0,"",H18/I18)</f>
        <v/>
      </c>
      <c r="K18" s="19">
        <f>IF(I18=0,"",J18*(1+$B$8)/(1-Reglages!$B$5))</f>
        <v/>
      </c>
      <c r="L18" s="8">
        <f>I18*$B$9</f>
        <v/>
      </c>
      <c r="M18" s="13">
        <f>IF(I18=0,"",L18-H18)</f>
        <v/>
      </c>
      <c r="N18" s="12">
        <f>IF(OR(I18=0,B18=""),"",K18/B18-1)</f>
        <v/>
      </c>
    </row>
    <row r="19">
      <c r="A19" s="57" t="n">
        <v>7</v>
      </c>
      <c r="B19" s="18">
        <f>IF(7&gt;Reglages!$G$16,"",$B$4*(1-Reglages!$I$16*6))</f>
        <v/>
      </c>
      <c r="C19" s="8">
        <f>IF(7&gt;Reglages!$G$16,"",$B$5*Reglages!$H$16^6/SUMPRODUCT(Reglages!$H$16^(ROW(INDIRECT("1:"&amp;Reglages!$G$16))-1)))</f>
        <v/>
      </c>
      <c r="D19" s="39" t="n"/>
      <c r="E19" s="66" t="n"/>
      <c r="F19" s="58" t="n"/>
      <c r="G19" s="10">
        <f>IF(OR(D19&lt;&gt;1,E19="",E19=0),0,F19/E19*(1-Reglages!$B$5))</f>
        <v/>
      </c>
      <c r="H19" s="8">
        <f>SUM($F$13:F19)</f>
        <v/>
      </c>
      <c r="I19" s="10">
        <f>SUM($G$13:G19)</f>
        <v/>
      </c>
      <c r="J19" s="18">
        <f>IF(I19=0,"",H19/I19)</f>
        <v/>
      </c>
      <c r="K19" s="19">
        <f>IF(I19=0,"",J19*(1+$B$8)/(1-Reglages!$B$5))</f>
        <v/>
      </c>
      <c r="L19" s="8">
        <f>I19*$B$9</f>
        <v/>
      </c>
      <c r="M19" s="13">
        <f>IF(I19=0,"",L19-H19)</f>
        <v/>
      </c>
      <c r="N19" s="12">
        <f>IF(OR(I19=0,B19=""),"",K19/B19-1)</f>
        <v/>
      </c>
    </row>
    <row r="20">
      <c r="A20" s="57" t="n">
        <v>8</v>
      </c>
      <c r="B20" s="18">
        <f>IF(8&gt;Reglages!$G$16,"",$B$4*(1-Reglages!$I$16*7))</f>
        <v/>
      </c>
      <c r="C20" s="8">
        <f>IF(8&gt;Reglages!$G$16,"",$B$5*Reglages!$H$16^7/SUMPRODUCT(Reglages!$H$16^(ROW(INDIRECT("1:"&amp;Reglages!$G$16))-1)))</f>
        <v/>
      </c>
      <c r="D20" s="39" t="n"/>
      <c r="E20" s="66" t="n"/>
      <c r="F20" s="58" t="n"/>
      <c r="G20" s="10">
        <f>IF(OR(D20&lt;&gt;1,E20="",E20=0),0,F20/E20*(1-Reglages!$B$5))</f>
        <v/>
      </c>
      <c r="H20" s="8">
        <f>SUM($F$13:F20)</f>
        <v/>
      </c>
      <c r="I20" s="10">
        <f>SUM($G$13:G20)</f>
        <v/>
      </c>
      <c r="J20" s="18">
        <f>IF(I20=0,"",H20/I20)</f>
        <v/>
      </c>
      <c r="K20" s="19">
        <f>IF(I20=0,"",J20*(1+$B$8)/(1-Reglages!$B$5))</f>
        <v/>
      </c>
      <c r="L20" s="8">
        <f>I20*$B$9</f>
        <v/>
      </c>
      <c r="M20" s="13">
        <f>IF(I20=0,"",L20-H20)</f>
        <v/>
      </c>
      <c r="N20" s="12">
        <f>IF(OR(I20=0,B20=""),"",K20/B20-1)</f>
        <v/>
      </c>
    </row>
    <row r="21">
      <c r="A21" s="57" t="n">
        <v>9</v>
      </c>
      <c r="B21" s="18">
        <f>IF(9&gt;Reglages!$G$16,"",$B$4*(1-Reglages!$I$16*8))</f>
        <v/>
      </c>
      <c r="C21" s="8">
        <f>IF(9&gt;Reglages!$G$16,"",$B$5*Reglages!$H$16^8/SUMPRODUCT(Reglages!$H$16^(ROW(INDIRECT("1:"&amp;Reglages!$G$16))-1)))</f>
        <v/>
      </c>
      <c r="D21" s="39" t="n"/>
      <c r="E21" s="66" t="n"/>
      <c r="F21" s="58" t="n"/>
      <c r="G21" s="10">
        <f>IF(OR(D21&lt;&gt;1,E21="",E21=0),0,F21/E21*(1-Reglages!$B$5))</f>
        <v/>
      </c>
      <c r="H21" s="8">
        <f>SUM($F$13:F21)</f>
        <v/>
      </c>
      <c r="I21" s="10">
        <f>SUM($G$13:G21)</f>
        <v/>
      </c>
      <c r="J21" s="18">
        <f>IF(I21=0,"",H21/I21)</f>
        <v/>
      </c>
      <c r="K21" s="19">
        <f>IF(I21=0,"",J21*(1+$B$8)/(1-Reglages!$B$5))</f>
        <v/>
      </c>
      <c r="L21" s="8">
        <f>I21*$B$9</f>
        <v/>
      </c>
      <c r="M21" s="13">
        <f>IF(I21=0,"",L21-H21)</f>
        <v/>
      </c>
      <c r="N21" s="12">
        <f>IF(OR(I21=0,B21=""),"",K21/B21-1)</f>
        <v/>
      </c>
    </row>
    <row r="22">
      <c r="A22" s="57" t="n">
        <v>10</v>
      </c>
      <c r="B22" s="18">
        <f>IF(10&gt;Reglages!$G$16,"",$B$4*(1-Reglages!$I$16*9))</f>
        <v/>
      </c>
      <c r="C22" s="8">
        <f>IF(10&gt;Reglages!$G$16,"",$B$5*Reglages!$H$16^9/SUMPRODUCT(Reglages!$H$16^(ROW(INDIRECT("1:"&amp;Reglages!$G$16))-1)))</f>
        <v/>
      </c>
      <c r="D22" s="39" t="n"/>
      <c r="E22" s="66" t="n"/>
      <c r="F22" s="58" t="n"/>
      <c r="G22" s="10">
        <f>IF(OR(D22&lt;&gt;1,E22="",E22=0),0,F22/E22*(1-Reglages!$B$5))</f>
        <v/>
      </c>
      <c r="H22" s="8">
        <f>SUM($F$13:F22)</f>
        <v/>
      </c>
      <c r="I22" s="10">
        <f>SUM($G$13:G22)</f>
        <v/>
      </c>
      <c r="J22" s="18">
        <f>IF(I22=0,"",H22/I22)</f>
        <v/>
      </c>
      <c r="K22" s="19">
        <f>IF(I22=0,"",J22*(1+$B$8)/(1-Reglages!$B$5))</f>
        <v/>
      </c>
      <c r="L22" s="8">
        <f>I22*$B$9</f>
        <v/>
      </c>
      <c r="M22" s="13">
        <f>IF(I22=0,"",L22-H22)</f>
        <v/>
      </c>
      <c r="N22" s="12">
        <f>IF(OR(I22=0,B22=""),"",K22/B22-1)</f>
        <v/>
      </c>
    </row>
    <row r="23">
      <c r="A23" s="57" t="n">
        <v>11</v>
      </c>
      <c r="B23" s="18">
        <f>IF(11&gt;Reglages!$G$16,"",$B$4*(1-Reglages!$I$16*10))</f>
        <v/>
      </c>
      <c r="C23" s="8">
        <f>IF(11&gt;Reglages!$G$16,"",$B$5*Reglages!$H$16^10/SUMPRODUCT(Reglages!$H$16^(ROW(INDIRECT("1:"&amp;Reglages!$G$16))-1)))</f>
        <v/>
      </c>
      <c r="D23" s="39" t="n"/>
      <c r="E23" s="66" t="n"/>
      <c r="F23" s="58" t="n"/>
      <c r="G23" s="10">
        <f>IF(OR(D23&lt;&gt;1,E23="",E23=0),0,F23/E23*(1-Reglages!$B$5))</f>
        <v/>
      </c>
      <c r="H23" s="8">
        <f>SUM($F$13:F23)</f>
        <v/>
      </c>
      <c r="I23" s="10">
        <f>SUM($G$13:G23)</f>
        <v/>
      </c>
      <c r="J23" s="18">
        <f>IF(I23=0,"",H23/I23)</f>
        <v/>
      </c>
      <c r="K23" s="19">
        <f>IF(I23=0,"",J23*(1+$B$8)/(1-Reglages!$B$5))</f>
        <v/>
      </c>
      <c r="L23" s="8">
        <f>I23*$B$9</f>
        <v/>
      </c>
      <c r="M23" s="13">
        <f>IF(I23=0,"",L23-H23)</f>
        <v/>
      </c>
      <c r="N23" s="12">
        <f>IF(OR(I23=0,B23=""),"",K23/B23-1)</f>
        <v/>
      </c>
    </row>
    <row r="24">
      <c r="A24" s="57" t="n">
        <v>12</v>
      </c>
      <c r="B24" s="18">
        <f>IF(12&gt;Reglages!$G$16,"",$B$4*(1-Reglages!$I$16*11))</f>
        <v/>
      </c>
      <c r="C24" s="8">
        <f>IF(12&gt;Reglages!$G$16,"",$B$5*Reglages!$H$16^11/SUMPRODUCT(Reglages!$H$16^(ROW(INDIRECT("1:"&amp;Reglages!$G$16))-1)))</f>
        <v/>
      </c>
      <c r="D24" s="39" t="n"/>
      <c r="E24" s="66" t="n"/>
      <c r="F24" s="58" t="n"/>
      <c r="G24" s="10">
        <f>IF(OR(D24&lt;&gt;1,E24="",E24=0),0,F24/E24*(1-Reglages!$B$5))</f>
        <v/>
      </c>
      <c r="H24" s="8">
        <f>SUM($F$13:F24)</f>
        <v/>
      </c>
      <c r="I24" s="10">
        <f>SUM($G$13:G24)</f>
        <v/>
      </c>
      <c r="J24" s="18">
        <f>IF(I24=0,"",H24/I24)</f>
        <v/>
      </c>
      <c r="K24" s="19">
        <f>IF(I24=0,"",J24*(1+$B$8)/(1-Reglages!$B$5))</f>
        <v/>
      </c>
      <c r="L24" s="8">
        <f>I24*$B$9</f>
        <v/>
      </c>
      <c r="M24" s="13">
        <f>IF(I24=0,"",L24-H24)</f>
        <v/>
      </c>
      <c r="N24" s="12">
        <f>IF(OR(I24=0,B24=""),"",K24/B24-1)</f>
        <v/>
      </c>
    </row>
    <row r="25">
      <c r="A25" s="57" t="n">
        <v>13</v>
      </c>
      <c r="B25" s="18">
        <f>IF(13&gt;Reglages!$G$16,"",$B$4*(1-Reglages!$I$16*12))</f>
        <v/>
      </c>
      <c r="C25" s="8">
        <f>IF(13&gt;Reglages!$G$16,"",$B$5*Reglages!$H$16^12/SUMPRODUCT(Reglages!$H$16^(ROW(INDIRECT("1:"&amp;Reglages!$G$16))-1)))</f>
        <v/>
      </c>
      <c r="D25" s="39" t="n"/>
      <c r="E25" s="66" t="n"/>
      <c r="F25" s="58" t="n"/>
      <c r="G25" s="10">
        <f>IF(OR(D25&lt;&gt;1,E25="",E25=0),0,F25/E25*(1-Reglages!$B$5))</f>
        <v/>
      </c>
      <c r="H25" s="8">
        <f>SUM($F$13:F25)</f>
        <v/>
      </c>
      <c r="I25" s="10">
        <f>SUM($G$13:G25)</f>
        <v/>
      </c>
      <c r="J25" s="18">
        <f>IF(I25=0,"",H25/I25)</f>
        <v/>
      </c>
      <c r="K25" s="19">
        <f>IF(I25=0,"",J25*(1+$B$8)/(1-Reglages!$B$5))</f>
        <v/>
      </c>
      <c r="L25" s="8">
        <f>I25*$B$9</f>
        <v/>
      </c>
      <c r="M25" s="13">
        <f>IF(I25=0,"",L25-H25)</f>
        <v/>
      </c>
      <c r="N25" s="12">
        <f>IF(OR(I25=0,B25=""),"",K25/B25-1)</f>
        <v/>
      </c>
    </row>
    <row r="26">
      <c r="A26" s="57" t="n">
        <v>14</v>
      </c>
      <c r="B26" s="18">
        <f>IF(14&gt;Reglages!$G$16,"",$B$4*(1-Reglages!$I$16*13))</f>
        <v/>
      </c>
      <c r="C26" s="8">
        <f>IF(14&gt;Reglages!$G$16,"",$B$5*Reglages!$H$16^13/SUMPRODUCT(Reglages!$H$16^(ROW(INDIRECT("1:"&amp;Reglages!$G$16))-1)))</f>
        <v/>
      </c>
      <c r="D26" s="39" t="n"/>
      <c r="E26" s="66" t="n"/>
      <c r="F26" s="58" t="n"/>
      <c r="G26" s="10">
        <f>IF(OR(D26&lt;&gt;1,E26="",E26=0),0,F26/E26*(1-Reglages!$B$5))</f>
        <v/>
      </c>
      <c r="H26" s="8">
        <f>SUM($F$13:F26)</f>
        <v/>
      </c>
      <c r="I26" s="10">
        <f>SUM($G$13:G26)</f>
        <v/>
      </c>
      <c r="J26" s="18">
        <f>IF(I26=0,"",H26/I26)</f>
        <v/>
      </c>
      <c r="K26" s="19">
        <f>IF(I26=0,"",J26*(1+$B$8)/(1-Reglages!$B$5))</f>
        <v/>
      </c>
      <c r="L26" s="8">
        <f>I26*$B$9</f>
        <v/>
      </c>
      <c r="M26" s="13">
        <f>IF(I26=0,"",L26-H26)</f>
        <v/>
      </c>
      <c r="N26" s="12">
        <f>IF(OR(I26=0,B26=""),"",K26/B26-1)</f>
        <v/>
      </c>
    </row>
    <row r="27">
      <c r="A27" s="6" t="inlineStr">
        <is>
          <t>TOTAL</t>
        </is>
      </c>
      <c r="B27" s="22" t="n"/>
      <c r="C27" s="23">
        <f>SUM(C13:C26)</f>
        <v/>
      </c>
      <c r="D27" s="22" t="n"/>
      <c r="E27" s="22" t="n"/>
      <c r="F27" s="23">
        <f>SUM(F13:F26)</f>
        <v/>
      </c>
      <c r="G27" s="59">
        <f>SUM(G13:G26)</f>
        <v/>
      </c>
      <c r="H27" s="22" t="n"/>
      <c r="I27" s="22" t="n"/>
      <c r="J27" s="67">
        <f>IF(G27=0,"",F27/G27)</f>
        <v/>
      </c>
      <c r="K27" s="67">
        <f>IF(G27=0,"",J27*(1+$B$8)/(1-Reglages!$B$5))</f>
        <v/>
      </c>
      <c r="L27" s="23">
        <f>G27*$B$9</f>
        <v/>
      </c>
      <c r="M27" s="25">
        <f>IF(G27=0,"",L27-F27)</f>
        <v/>
      </c>
      <c r="N27" s="60">
        <f>IF(OR(G27=0,$B$9=0),"",K27/$B$9-1)</f>
        <v/>
      </c>
    </row>
    <row r="29">
      <c r="A29" s="5" t="inlineStr">
        <is>
          <t>Si vous revendez tout maintenant au prix de revente</t>
        </is>
      </c>
      <c r="E29" s="61">
        <f>IF(G27=0,"",F27*$B$8)</f>
        <v/>
      </c>
    </row>
    <row r="30">
      <c r="A30" s="5" t="inlineStr">
        <is>
          <t>Etat de la descente</t>
        </is>
      </c>
      <c r="E30" s="7">
        <f>IF(G27=0,"pas commencee",IF($B$9&lt;=$E$6,"ABANDON : sous le seuil",IF(AND($E$5&lt;&gt;"",$E$5&gt;Reglages!$B$8),"BLOQUEE : trop longue",IF($B$9&gt;=K27,"REVENDRE MAINTENANT",IF(COUNT(D13:D26)-COUNTIF(D13:D26,1)=0,"echelle epuisee","en cours"))))</f>
        <v/>
      </c>
    </row>
  </sheetData>
  <conditionalFormatting sqref="E30">
    <cfRule type="expression" priority="1" dxfId="0">
      <formula>OR(E30="ABANDON : sous le seuil",E30="BLOQUEE : trop longue")</formula>
    </cfRule>
    <cfRule type="expression" priority="2" dxfId="1">
      <formula>E30="REVENDRE MAINTENANT"</formula>
    </cfRule>
  </conditionalFormatting>
  <conditionalFormatting sqref="M13:M27">
    <cfRule type="cellIs" priority="3" operator="lessThan" dxfId="3">
      <formula>0</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30"/>
  <sheetViews>
    <sheetView showGridLines="0" workbookViewId="0">
      <pane ySplit="12" topLeftCell="A13" activePane="bottomLeft" state="frozen"/>
      <selection pane="bottomLeft" activeCell="A1" sqref="A1"/>
    </sheetView>
  </sheetViews>
  <sheetFormatPr baseColWidth="8" defaultRowHeight="15"/>
  <cols>
    <col width="7" customWidth="1" min="1" max="1"/>
    <col width="13" customWidth="1" min="2" max="2"/>
    <col width="12" customWidth="1" min="3" max="3"/>
    <col width="9" customWidth="1" min="4" max="4"/>
    <col width="14" customWidth="1" min="5" max="5"/>
    <col width="15" customWidth="1" min="6" max="6"/>
    <col width="12" customWidth="1" min="7" max="7"/>
    <col width="12" customWidth="1" min="8" max="8"/>
    <col width="12" customWidth="1" min="9" max="9"/>
    <col width="14" customWidth="1" min="10" max="10"/>
    <col width="14" customWidth="1" min="11" max="11"/>
    <col width="13" customWidth="1" min="12" max="12"/>
    <col width="12" customWidth="1" min="13" max="13"/>
    <col width="14" customWidth="1" min="14" max="14"/>
  </cols>
  <sheetData>
    <row r="1">
      <c r="A1" s="1" t="inlineStr">
        <is>
          <t>Descente DOGE</t>
        </is>
      </c>
    </row>
    <row r="2">
      <c r="A2" s="2" t="inlineStr">
        <is>
          <t>Colonnes jaunes : a remplir quand l'achat est passe. Le reste est calcule.</t>
        </is>
      </c>
    </row>
    <row r="4">
      <c r="A4" s="28" t="inlineStr">
        <is>
          <t>Prix de reference</t>
        </is>
      </c>
      <c r="B4" s="62">
        <f>Reglages!B17</f>
        <v/>
      </c>
      <c r="D4" s="28" t="inlineStr">
        <is>
          <t>Date du premier achat</t>
        </is>
      </c>
      <c r="E4" s="52" t="n"/>
    </row>
    <row r="5">
      <c r="A5" s="28" t="inlineStr">
        <is>
          <t>Budget alloue</t>
        </is>
      </c>
      <c r="B5" s="53">
        <f>Reglages!E17</f>
        <v/>
      </c>
      <c r="D5" s="28" t="inlineStr">
        <is>
          <t>Jours ecoules</t>
        </is>
      </c>
      <c r="E5" s="54">
        <f>IF(E4="","",TODAY()-E4)</f>
        <v/>
      </c>
    </row>
    <row r="6">
      <c r="A6" s="28" t="inlineStr">
        <is>
          <t>Profondeur de l'echelle</t>
        </is>
      </c>
      <c r="B6" s="55">
        <f>Reglages!F17</f>
        <v/>
      </c>
      <c r="D6" s="28" t="inlineStr">
        <is>
          <t>Seuil d'abandon</t>
        </is>
      </c>
      <c r="E6" s="62">
        <f>B7*(1-0.15)</f>
        <v/>
      </c>
      <c r="F6" s="30" t="inlineStr">
        <is>
          <t>15 % sous le dernier palier. En dessous, on n'ajoute plus rien.</t>
        </is>
      </c>
    </row>
    <row r="7">
      <c r="A7" s="28" t="inlineStr">
        <is>
          <t>Prix du dernier palier</t>
        </is>
      </c>
      <c r="B7" s="62">
        <f>Reglages!J17</f>
        <v/>
      </c>
    </row>
    <row r="8">
      <c r="A8" s="28" t="inlineStr">
        <is>
          <t>Objectif net a la revente</t>
        </is>
      </c>
      <c r="B8" s="56">
        <f>Reglages!B6</f>
        <v/>
      </c>
    </row>
    <row r="9">
      <c r="A9" s="28" t="inlineStr">
        <is>
          <t>Prix actuel du marche</t>
        </is>
      </c>
      <c r="B9" s="45" t="n">
        <v>0.08891</v>
      </c>
    </row>
    <row r="12" ht="34" customHeight="1">
      <c r="A12" s="6" t="inlineStr">
        <is>
          <t>Palier</t>
        </is>
      </c>
      <c r="B12" s="6" t="inlineStr">
        <is>
          <t>Prix cible</t>
        </is>
      </c>
      <c r="C12" s="6" t="inlineStr">
        <is>
          <t>Mise prevue
(EUR)</t>
        </is>
      </c>
      <c r="D12" s="6" t="inlineStr">
        <is>
          <t>Fait ?
(1 = oui)</t>
        </is>
      </c>
      <c r="E12" s="6" t="inlineStr">
        <is>
          <t>Prix reellement
paye</t>
        </is>
      </c>
      <c r="F12" s="6" t="inlineStr">
        <is>
          <t>Montant reellement
investi (EUR)</t>
        </is>
      </c>
      <c r="G12" s="6" t="inlineStr">
        <is>
          <t>Unites
obtenues</t>
        </is>
      </c>
      <c r="H12" s="6" t="inlineStr">
        <is>
          <t>Cumul
investi</t>
        </is>
      </c>
      <c r="I12" s="6" t="inlineStr">
        <is>
          <t>Cumul
unites</t>
        </is>
      </c>
      <c r="J12" s="6" t="inlineStr">
        <is>
          <t>Prix de revient
moyen</t>
        </is>
      </c>
      <c r="K12" s="6" t="inlineStr">
        <is>
          <t>Prix de revente
(+2 % net)</t>
        </is>
      </c>
      <c r="L12" s="6" t="inlineStr">
        <is>
          <t>Valeur au
prix actuel</t>
        </is>
      </c>
      <c r="M12" s="6" t="inlineStr">
        <is>
          <t>P&amp;L latent</t>
        </is>
      </c>
      <c r="N12" s="6" t="inlineStr">
        <is>
          <t>Rebond requis
depuis ce palier</t>
        </is>
      </c>
    </row>
    <row r="13">
      <c r="A13" s="57" t="n">
        <v>1</v>
      </c>
      <c r="B13" s="16">
        <f>IF(1&gt;Reglages!$G$17,"",$B$4*(1-Reglages!$I$17*0))</f>
        <v/>
      </c>
      <c r="C13" s="8">
        <f>IF(1&gt;Reglages!$G$17,"",$B$5*Reglages!$H$17^0/SUMPRODUCT(Reglages!$H$17^(ROW(INDIRECT("1:"&amp;Reglages!$G$17))-1)))</f>
        <v/>
      </c>
      <c r="D13" s="39" t="n"/>
      <c r="E13" s="63" t="n"/>
      <c r="F13" s="58" t="n"/>
      <c r="G13" s="10">
        <f>IF(OR(D13&lt;&gt;1,E13="",E13=0),0,F13/E13*(1-Reglages!$B$5))</f>
        <v/>
      </c>
      <c r="H13" s="8">
        <f>SUM($F$13:F13)</f>
        <v/>
      </c>
      <c r="I13" s="10">
        <f>SUM($G$13:G13)</f>
        <v/>
      </c>
      <c r="J13" s="16">
        <f>IF(I13=0,"",H13/I13)</f>
        <v/>
      </c>
      <c r="K13" s="17">
        <f>IF(I13=0,"",J13*(1+$B$8)/(1-Reglages!$B$5))</f>
        <v/>
      </c>
      <c r="L13" s="8">
        <f>I13*$B$9</f>
        <v/>
      </c>
      <c r="M13" s="13">
        <f>IF(I13=0,"",L13-H13)</f>
        <v/>
      </c>
      <c r="N13" s="12">
        <f>IF(OR(I13=0,B13=""),"",K13/B13-1)</f>
        <v/>
      </c>
    </row>
    <row r="14">
      <c r="A14" s="57" t="n">
        <v>2</v>
      </c>
      <c r="B14" s="16">
        <f>IF(2&gt;Reglages!$G$17,"",$B$4*(1-Reglages!$I$17*1))</f>
        <v/>
      </c>
      <c r="C14" s="8">
        <f>IF(2&gt;Reglages!$G$17,"",$B$5*Reglages!$H$17^1/SUMPRODUCT(Reglages!$H$17^(ROW(INDIRECT("1:"&amp;Reglages!$G$17))-1)))</f>
        <v/>
      </c>
      <c r="D14" s="39" t="n"/>
      <c r="E14" s="63" t="n"/>
      <c r="F14" s="58" t="n"/>
      <c r="G14" s="10">
        <f>IF(OR(D14&lt;&gt;1,E14="",E14=0),0,F14/E14*(1-Reglages!$B$5))</f>
        <v/>
      </c>
      <c r="H14" s="8">
        <f>SUM($F$13:F14)</f>
        <v/>
      </c>
      <c r="I14" s="10">
        <f>SUM($G$13:G14)</f>
        <v/>
      </c>
      <c r="J14" s="16">
        <f>IF(I14=0,"",H14/I14)</f>
        <v/>
      </c>
      <c r="K14" s="17">
        <f>IF(I14=0,"",J14*(1+$B$8)/(1-Reglages!$B$5))</f>
        <v/>
      </c>
      <c r="L14" s="8">
        <f>I14*$B$9</f>
        <v/>
      </c>
      <c r="M14" s="13">
        <f>IF(I14=0,"",L14-H14)</f>
        <v/>
      </c>
      <c r="N14" s="12">
        <f>IF(OR(I14=0,B14=""),"",K14/B14-1)</f>
        <v/>
      </c>
    </row>
    <row r="15">
      <c r="A15" s="57" t="n">
        <v>3</v>
      </c>
      <c r="B15" s="16">
        <f>IF(3&gt;Reglages!$G$17,"",$B$4*(1-Reglages!$I$17*2))</f>
        <v/>
      </c>
      <c r="C15" s="8">
        <f>IF(3&gt;Reglages!$G$17,"",$B$5*Reglages!$H$17^2/SUMPRODUCT(Reglages!$H$17^(ROW(INDIRECT("1:"&amp;Reglages!$G$17))-1)))</f>
        <v/>
      </c>
      <c r="D15" s="39" t="n"/>
      <c r="E15" s="63" t="n"/>
      <c r="F15" s="58" t="n"/>
      <c r="G15" s="10">
        <f>IF(OR(D15&lt;&gt;1,E15="",E15=0),0,F15/E15*(1-Reglages!$B$5))</f>
        <v/>
      </c>
      <c r="H15" s="8">
        <f>SUM($F$13:F15)</f>
        <v/>
      </c>
      <c r="I15" s="10">
        <f>SUM($G$13:G15)</f>
        <v/>
      </c>
      <c r="J15" s="16">
        <f>IF(I15=0,"",H15/I15)</f>
        <v/>
      </c>
      <c r="K15" s="17">
        <f>IF(I15=0,"",J15*(1+$B$8)/(1-Reglages!$B$5))</f>
        <v/>
      </c>
      <c r="L15" s="8">
        <f>I15*$B$9</f>
        <v/>
      </c>
      <c r="M15" s="13">
        <f>IF(I15=0,"",L15-H15)</f>
        <v/>
      </c>
      <c r="N15" s="12">
        <f>IF(OR(I15=0,B15=""),"",K15/B15-1)</f>
        <v/>
      </c>
    </row>
    <row r="16">
      <c r="A16" s="57" t="n">
        <v>4</v>
      </c>
      <c r="B16" s="16">
        <f>IF(4&gt;Reglages!$G$17,"",$B$4*(1-Reglages!$I$17*3))</f>
        <v/>
      </c>
      <c r="C16" s="8">
        <f>IF(4&gt;Reglages!$G$17,"",$B$5*Reglages!$H$17^3/SUMPRODUCT(Reglages!$H$17^(ROW(INDIRECT("1:"&amp;Reglages!$G$17))-1)))</f>
        <v/>
      </c>
      <c r="D16" s="39" t="n"/>
      <c r="E16" s="63" t="n"/>
      <c r="F16" s="58" t="n"/>
      <c r="G16" s="10">
        <f>IF(OR(D16&lt;&gt;1,E16="",E16=0),0,F16/E16*(1-Reglages!$B$5))</f>
        <v/>
      </c>
      <c r="H16" s="8">
        <f>SUM($F$13:F16)</f>
        <v/>
      </c>
      <c r="I16" s="10">
        <f>SUM($G$13:G16)</f>
        <v/>
      </c>
      <c r="J16" s="16">
        <f>IF(I16=0,"",H16/I16)</f>
        <v/>
      </c>
      <c r="K16" s="17">
        <f>IF(I16=0,"",J16*(1+$B$8)/(1-Reglages!$B$5))</f>
        <v/>
      </c>
      <c r="L16" s="8">
        <f>I16*$B$9</f>
        <v/>
      </c>
      <c r="M16" s="13">
        <f>IF(I16=0,"",L16-H16)</f>
        <v/>
      </c>
      <c r="N16" s="12">
        <f>IF(OR(I16=0,B16=""),"",K16/B16-1)</f>
        <v/>
      </c>
    </row>
    <row r="17">
      <c r="A17" s="57" t="n">
        <v>5</v>
      </c>
      <c r="B17" s="16">
        <f>IF(5&gt;Reglages!$G$17,"",$B$4*(1-Reglages!$I$17*4))</f>
        <v/>
      </c>
      <c r="C17" s="8">
        <f>IF(5&gt;Reglages!$G$17,"",$B$5*Reglages!$H$17^4/SUMPRODUCT(Reglages!$H$17^(ROW(INDIRECT("1:"&amp;Reglages!$G$17))-1)))</f>
        <v/>
      </c>
      <c r="D17" s="39" t="n"/>
      <c r="E17" s="63" t="n"/>
      <c r="F17" s="58" t="n"/>
      <c r="G17" s="10">
        <f>IF(OR(D17&lt;&gt;1,E17="",E17=0),0,F17/E17*(1-Reglages!$B$5))</f>
        <v/>
      </c>
      <c r="H17" s="8">
        <f>SUM($F$13:F17)</f>
        <v/>
      </c>
      <c r="I17" s="10">
        <f>SUM($G$13:G17)</f>
        <v/>
      </c>
      <c r="J17" s="16">
        <f>IF(I17=0,"",H17/I17)</f>
        <v/>
      </c>
      <c r="K17" s="17">
        <f>IF(I17=0,"",J17*(1+$B$8)/(1-Reglages!$B$5))</f>
        <v/>
      </c>
      <c r="L17" s="8">
        <f>I17*$B$9</f>
        <v/>
      </c>
      <c r="M17" s="13">
        <f>IF(I17=0,"",L17-H17)</f>
        <v/>
      </c>
      <c r="N17" s="12">
        <f>IF(OR(I17=0,B17=""),"",K17/B17-1)</f>
        <v/>
      </c>
    </row>
    <row r="18">
      <c r="A18" s="57" t="n">
        <v>6</v>
      </c>
      <c r="B18" s="16">
        <f>IF(6&gt;Reglages!$G$17,"",$B$4*(1-Reglages!$I$17*5))</f>
        <v/>
      </c>
      <c r="C18" s="8">
        <f>IF(6&gt;Reglages!$G$17,"",$B$5*Reglages!$H$17^5/SUMPRODUCT(Reglages!$H$17^(ROW(INDIRECT("1:"&amp;Reglages!$G$17))-1)))</f>
        <v/>
      </c>
      <c r="D18" s="39" t="n"/>
      <c r="E18" s="63" t="n"/>
      <c r="F18" s="58" t="n"/>
      <c r="G18" s="10">
        <f>IF(OR(D18&lt;&gt;1,E18="",E18=0),0,F18/E18*(1-Reglages!$B$5))</f>
        <v/>
      </c>
      <c r="H18" s="8">
        <f>SUM($F$13:F18)</f>
        <v/>
      </c>
      <c r="I18" s="10">
        <f>SUM($G$13:G18)</f>
        <v/>
      </c>
      <c r="J18" s="16">
        <f>IF(I18=0,"",H18/I18)</f>
        <v/>
      </c>
      <c r="K18" s="17">
        <f>IF(I18=0,"",J18*(1+$B$8)/(1-Reglages!$B$5))</f>
        <v/>
      </c>
      <c r="L18" s="8">
        <f>I18*$B$9</f>
        <v/>
      </c>
      <c r="M18" s="13">
        <f>IF(I18=0,"",L18-H18)</f>
        <v/>
      </c>
      <c r="N18" s="12">
        <f>IF(OR(I18=0,B18=""),"",K18/B18-1)</f>
        <v/>
      </c>
    </row>
    <row r="19">
      <c r="A19" s="57" t="n">
        <v>7</v>
      </c>
      <c r="B19" s="16">
        <f>IF(7&gt;Reglages!$G$17,"",$B$4*(1-Reglages!$I$17*6))</f>
        <v/>
      </c>
      <c r="C19" s="8">
        <f>IF(7&gt;Reglages!$G$17,"",$B$5*Reglages!$H$17^6/SUMPRODUCT(Reglages!$H$17^(ROW(INDIRECT("1:"&amp;Reglages!$G$17))-1)))</f>
        <v/>
      </c>
      <c r="D19" s="39" t="n"/>
      <c r="E19" s="63" t="n"/>
      <c r="F19" s="58" t="n"/>
      <c r="G19" s="10">
        <f>IF(OR(D19&lt;&gt;1,E19="",E19=0),0,F19/E19*(1-Reglages!$B$5))</f>
        <v/>
      </c>
      <c r="H19" s="8">
        <f>SUM($F$13:F19)</f>
        <v/>
      </c>
      <c r="I19" s="10">
        <f>SUM($G$13:G19)</f>
        <v/>
      </c>
      <c r="J19" s="16">
        <f>IF(I19=0,"",H19/I19)</f>
        <v/>
      </c>
      <c r="K19" s="17">
        <f>IF(I19=0,"",J19*(1+$B$8)/(1-Reglages!$B$5))</f>
        <v/>
      </c>
      <c r="L19" s="8">
        <f>I19*$B$9</f>
        <v/>
      </c>
      <c r="M19" s="13">
        <f>IF(I19=0,"",L19-H19)</f>
        <v/>
      </c>
      <c r="N19" s="12">
        <f>IF(OR(I19=0,B19=""),"",K19/B19-1)</f>
        <v/>
      </c>
    </row>
    <row r="20">
      <c r="A20" s="57" t="n">
        <v>8</v>
      </c>
      <c r="B20" s="16">
        <f>IF(8&gt;Reglages!$G$17,"",$B$4*(1-Reglages!$I$17*7))</f>
        <v/>
      </c>
      <c r="C20" s="8">
        <f>IF(8&gt;Reglages!$G$17,"",$B$5*Reglages!$H$17^7/SUMPRODUCT(Reglages!$H$17^(ROW(INDIRECT("1:"&amp;Reglages!$G$17))-1)))</f>
        <v/>
      </c>
      <c r="D20" s="39" t="n"/>
      <c r="E20" s="63" t="n"/>
      <c r="F20" s="58" t="n"/>
      <c r="G20" s="10">
        <f>IF(OR(D20&lt;&gt;1,E20="",E20=0),0,F20/E20*(1-Reglages!$B$5))</f>
        <v/>
      </c>
      <c r="H20" s="8">
        <f>SUM($F$13:F20)</f>
        <v/>
      </c>
      <c r="I20" s="10">
        <f>SUM($G$13:G20)</f>
        <v/>
      </c>
      <c r="J20" s="16">
        <f>IF(I20=0,"",H20/I20)</f>
        <v/>
      </c>
      <c r="K20" s="17">
        <f>IF(I20=0,"",J20*(1+$B$8)/(1-Reglages!$B$5))</f>
        <v/>
      </c>
      <c r="L20" s="8">
        <f>I20*$B$9</f>
        <v/>
      </c>
      <c r="M20" s="13">
        <f>IF(I20=0,"",L20-H20)</f>
        <v/>
      </c>
      <c r="N20" s="12">
        <f>IF(OR(I20=0,B20=""),"",K20/B20-1)</f>
        <v/>
      </c>
    </row>
    <row r="21">
      <c r="A21" s="57" t="n">
        <v>9</v>
      </c>
      <c r="B21" s="16">
        <f>IF(9&gt;Reglages!$G$17,"",$B$4*(1-Reglages!$I$17*8))</f>
        <v/>
      </c>
      <c r="C21" s="8">
        <f>IF(9&gt;Reglages!$G$17,"",$B$5*Reglages!$H$17^8/SUMPRODUCT(Reglages!$H$17^(ROW(INDIRECT("1:"&amp;Reglages!$G$17))-1)))</f>
        <v/>
      </c>
      <c r="D21" s="39" t="n"/>
      <c r="E21" s="63" t="n"/>
      <c r="F21" s="58" t="n"/>
      <c r="G21" s="10">
        <f>IF(OR(D21&lt;&gt;1,E21="",E21=0),0,F21/E21*(1-Reglages!$B$5))</f>
        <v/>
      </c>
      <c r="H21" s="8">
        <f>SUM($F$13:F21)</f>
        <v/>
      </c>
      <c r="I21" s="10">
        <f>SUM($G$13:G21)</f>
        <v/>
      </c>
      <c r="J21" s="16">
        <f>IF(I21=0,"",H21/I21)</f>
        <v/>
      </c>
      <c r="K21" s="17">
        <f>IF(I21=0,"",J21*(1+$B$8)/(1-Reglages!$B$5))</f>
        <v/>
      </c>
      <c r="L21" s="8">
        <f>I21*$B$9</f>
        <v/>
      </c>
      <c r="M21" s="13">
        <f>IF(I21=0,"",L21-H21)</f>
        <v/>
      </c>
      <c r="N21" s="12">
        <f>IF(OR(I21=0,B21=""),"",K21/B21-1)</f>
        <v/>
      </c>
    </row>
    <row r="22">
      <c r="A22" s="57" t="n">
        <v>10</v>
      </c>
      <c r="B22" s="16">
        <f>IF(10&gt;Reglages!$G$17,"",$B$4*(1-Reglages!$I$17*9))</f>
        <v/>
      </c>
      <c r="C22" s="8">
        <f>IF(10&gt;Reglages!$G$17,"",$B$5*Reglages!$H$17^9/SUMPRODUCT(Reglages!$H$17^(ROW(INDIRECT("1:"&amp;Reglages!$G$17))-1)))</f>
        <v/>
      </c>
      <c r="D22" s="39" t="n"/>
      <c r="E22" s="63" t="n"/>
      <c r="F22" s="58" t="n"/>
      <c r="G22" s="10">
        <f>IF(OR(D22&lt;&gt;1,E22="",E22=0),0,F22/E22*(1-Reglages!$B$5))</f>
        <v/>
      </c>
      <c r="H22" s="8">
        <f>SUM($F$13:F22)</f>
        <v/>
      </c>
      <c r="I22" s="10">
        <f>SUM($G$13:G22)</f>
        <v/>
      </c>
      <c r="J22" s="16">
        <f>IF(I22=0,"",H22/I22)</f>
        <v/>
      </c>
      <c r="K22" s="17">
        <f>IF(I22=0,"",J22*(1+$B$8)/(1-Reglages!$B$5))</f>
        <v/>
      </c>
      <c r="L22" s="8">
        <f>I22*$B$9</f>
        <v/>
      </c>
      <c r="M22" s="13">
        <f>IF(I22=0,"",L22-H22)</f>
        <v/>
      </c>
      <c r="N22" s="12">
        <f>IF(OR(I22=0,B22=""),"",K22/B22-1)</f>
        <v/>
      </c>
    </row>
    <row r="23">
      <c r="A23" s="57" t="n">
        <v>11</v>
      </c>
      <c r="B23" s="16">
        <f>IF(11&gt;Reglages!$G$17,"",$B$4*(1-Reglages!$I$17*10))</f>
        <v/>
      </c>
      <c r="C23" s="8">
        <f>IF(11&gt;Reglages!$G$17,"",$B$5*Reglages!$H$17^10/SUMPRODUCT(Reglages!$H$17^(ROW(INDIRECT("1:"&amp;Reglages!$G$17))-1)))</f>
        <v/>
      </c>
      <c r="D23" s="39" t="n"/>
      <c r="E23" s="63" t="n"/>
      <c r="F23" s="58" t="n"/>
      <c r="G23" s="10">
        <f>IF(OR(D23&lt;&gt;1,E23="",E23=0),0,F23/E23*(1-Reglages!$B$5))</f>
        <v/>
      </c>
      <c r="H23" s="8">
        <f>SUM($F$13:F23)</f>
        <v/>
      </c>
      <c r="I23" s="10">
        <f>SUM($G$13:G23)</f>
        <v/>
      </c>
      <c r="J23" s="16">
        <f>IF(I23=0,"",H23/I23)</f>
        <v/>
      </c>
      <c r="K23" s="17">
        <f>IF(I23=0,"",J23*(1+$B$8)/(1-Reglages!$B$5))</f>
        <v/>
      </c>
      <c r="L23" s="8">
        <f>I23*$B$9</f>
        <v/>
      </c>
      <c r="M23" s="13">
        <f>IF(I23=0,"",L23-H23)</f>
        <v/>
      </c>
      <c r="N23" s="12">
        <f>IF(OR(I23=0,B23=""),"",K23/B23-1)</f>
        <v/>
      </c>
    </row>
    <row r="24">
      <c r="A24" s="57" t="n">
        <v>12</v>
      </c>
      <c r="B24" s="16">
        <f>IF(12&gt;Reglages!$G$17,"",$B$4*(1-Reglages!$I$17*11))</f>
        <v/>
      </c>
      <c r="C24" s="8">
        <f>IF(12&gt;Reglages!$G$17,"",$B$5*Reglages!$H$17^11/SUMPRODUCT(Reglages!$H$17^(ROW(INDIRECT("1:"&amp;Reglages!$G$17))-1)))</f>
        <v/>
      </c>
      <c r="D24" s="39" t="n"/>
      <c r="E24" s="63" t="n"/>
      <c r="F24" s="58" t="n"/>
      <c r="G24" s="10">
        <f>IF(OR(D24&lt;&gt;1,E24="",E24=0),0,F24/E24*(1-Reglages!$B$5))</f>
        <v/>
      </c>
      <c r="H24" s="8">
        <f>SUM($F$13:F24)</f>
        <v/>
      </c>
      <c r="I24" s="10">
        <f>SUM($G$13:G24)</f>
        <v/>
      </c>
      <c r="J24" s="16">
        <f>IF(I24=0,"",H24/I24)</f>
        <v/>
      </c>
      <c r="K24" s="17">
        <f>IF(I24=0,"",J24*(1+$B$8)/(1-Reglages!$B$5))</f>
        <v/>
      </c>
      <c r="L24" s="8">
        <f>I24*$B$9</f>
        <v/>
      </c>
      <c r="M24" s="13">
        <f>IF(I24=0,"",L24-H24)</f>
        <v/>
      </c>
      <c r="N24" s="12">
        <f>IF(OR(I24=0,B24=""),"",K24/B24-1)</f>
        <v/>
      </c>
    </row>
    <row r="25">
      <c r="A25" s="57" t="n">
        <v>13</v>
      </c>
      <c r="B25" s="16">
        <f>IF(13&gt;Reglages!$G$17,"",$B$4*(1-Reglages!$I$17*12))</f>
        <v/>
      </c>
      <c r="C25" s="8">
        <f>IF(13&gt;Reglages!$G$17,"",$B$5*Reglages!$H$17^12/SUMPRODUCT(Reglages!$H$17^(ROW(INDIRECT("1:"&amp;Reglages!$G$17))-1)))</f>
        <v/>
      </c>
      <c r="D25" s="39" t="n"/>
      <c r="E25" s="63" t="n"/>
      <c r="F25" s="58" t="n"/>
      <c r="G25" s="10">
        <f>IF(OR(D25&lt;&gt;1,E25="",E25=0),0,F25/E25*(1-Reglages!$B$5))</f>
        <v/>
      </c>
      <c r="H25" s="8">
        <f>SUM($F$13:F25)</f>
        <v/>
      </c>
      <c r="I25" s="10">
        <f>SUM($G$13:G25)</f>
        <v/>
      </c>
      <c r="J25" s="16">
        <f>IF(I25=0,"",H25/I25)</f>
        <v/>
      </c>
      <c r="K25" s="17">
        <f>IF(I25=0,"",J25*(1+$B$8)/(1-Reglages!$B$5))</f>
        <v/>
      </c>
      <c r="L25" s="8">
        <f>I25*$B$9</f>
        <v/>
      </c>
      <c r="M25" s="13">
        <f>IF(I25=0,"",L25-H25)</f>
        <v/>
      </c>
      <c r="N25" s="12">
        <f>IF(OR(I25=0,B25=""),"",K25/B25-1)</f>
        <v/>
      </c>
    </row>
    <row r="26">
      <c r="A26" s="57" t="n">
        <v>14</v>
      </c>
      <c r="B26" s="16">
        <f>IF(14&gt;Reglages!$G$17,"",$B$4*(1-Reglages!$I$17*13))</f>
        <v/>
      </c>
      <c r="C26" s="8">
        <f>IF(14&gt;Reglages!$G$17,"",$B$5*Reglages!$H$17^13/SUMPRODUCT(Reglages!$H$17^(ROW(INDIRECT("1:"&amp;Reglages!$G$17))-1)))</f>
        <v/>
      </c>
      <c r="D26" s="39" t="n"/>
      <c r="E26" s="63" t="n"/>
      <c r="F26" s="58" t="n"/>
      <c r="G26" s="10">
        <f>IF(OR(D26&lt;&gt;1,E26="",E26=0),0,F26/E26*(1-Reglages!$B$5))</f>
        <v/>
      </c>
      <c r="H26" s="8">
        <f>SUM($F$13:F26)</f>
        <v/>
      </c>
      <c r="I26" s="10">
        <f>SUM($G$13:G26)</f>
        <v/>
      </c>
      <c r="J26" s="16">
        <f>IF(I26=0,"",H26/I26)</f>
        <v/>
      </c>
      <c r="K26" s="17">
        <f>IF(I26=0,"",J26*(1+$B$8)/(1-Reglages!$B$5))</f>
        <v/>
      </c>
      <c r="L26" s="8">
        <f>I26*$B$9</f>
        <v/>
      </c>
      <c r="M26" s="13">
        <f>IF(I26=0,"",L26-H26)</f>
        <v/>
      </c>
      <c r="N26" s="12">
        <f>IF(OR(I26=0,B26=""),"",K26/B26-1)</f>
        <v/>
      </c>
    </row>
    <row r="27">
      <c r="A27" s="6" t="inlineStr">
        <is>
          <t>TOTAL</t>
        </is>
      </c>
      <c r="B27" s="22" t="n"/>
      <c r="C27" s="23">
        <f>SUM(C13:C26)</f>
        <v/>
      </c>
      <c r="D27" s="22" t="n"/>
      <c r="E27" s="22" t="n"/>
      <c r="F27" s="23">
        <f>SUM(F13:F26)</f>
        <v/>
      </c>
      <c r="G27" s="59">
        <f>SUM(G13:G26)</f>
        <v/>
      </c>
      <c r="H27" s="22" t="n"/>
      <c r="I27" s="22" t="n"/>
      <c r="J27" s="64">
        <f>IF(G27=0,"",F27/G27)</f>
        <v/>
      </c>
      <c r="K27" s="64">
        <f>IF(G27=0,"",J27*(1+$B$8)/(1-Reglages!$B$5))</f>
        <v/>
      </c>
      <c r="L27" s="23">
        <f>G27*$B$9</f>
        <v/>
      </c>
      <c r="M27" s="25">
        <f>IF(G27=0,"",L27-F27)</f>
        <v/>
      </c>
      <c r="N27" s="60">
        <f>IF(OR(G27=0,$B$9=0),"",K27/$B$9-1)</f>
        <v/>
      </c>
    </row>
    <row r="29">
      <c r="A29" s="5" t="inlineStr">
        <is>
          <t>Si vous revendez tout maintenant au prix de revente</t>
        </is>
      </c>
      <c r="E29" s="61">
        <f>IF(G27=0,"",F27*$B$8)</f>
        <v/>
      </c>
    </row>
    <row r="30">
      <c r="A30" s="5" t="inlineStr">
        <is>
          <t>Etat de la descente</t>
        </is>
      </c>
      <c r="E30" s="7">
        <f>IF(G27=0,"pas commencee",IF($B$9&lt;=$E$6,"ABANDON : sous le seuil",IF(AND($E$5&lt;&gt;"",$E$5&gt;Reglages!$B$8),"BLOQUEE : trop longue",IF($B$9&gt;=K27,"REVENDRE MAINTENANT",IF(COUNT(D13:D26)-COUNTIF(D13:D26,1)=0,"echelle epuisee","en cours"))))</f>
        <v/>
      </c>
    </row>
  </sheetData>
  <conditionalFormatting sqref="E30">
    <cfRule type="expression" priority="1" dxfId="0">
      <formula>OR(E30="ABANDON : sous le seuil",E30="BLOQUEE : trop longue")</formula>
    </cfRule>
    <cfRule type="expression" priority="2" dxfId="1">
      <formula>E30="REVENDRE MAINTENANT"</formula>
    </cfRule>
  </conditionalFormatting>
  <conditionalFormatting sqref="M13:M27">
    <cfRule type="cellIs" priority="3" operator="lessThan" dxfId="3">
      <formula>0</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30"/>
  <sheetViews>
    <sheetView showGridLines="0" workbookViewId="0">
      <pane ySplit="12" topLeftCell="A13" activePane="bottomLeft" state="frozen"/>
      <selection pane="bottomLeft" activeCell="A1" sqref="A1"/>
    </sheetView>
  </sheetViews>
  <sheetFormatPr baseColWidth="8" defaultRowHeight="15"/>
  <cols>
    <col width="7" customWidth="1" min="1" max="1"/>
    <col width="13" customWidth="1" min="2" max="2"/>
    <col width="12" customWidth="1" min="3" max="3"/>
    <col width="9" customWidth="1" min="4" max="4"/>
    <col width="14" customWidth="1" min="5" max="5"/>
    <col width="15" customWidth="1" min="6" max="6"/>
    <col width="12" customWidth="1" min="7" max="7"/>
    <col width="12" customWidth="1" min="8" max="8"/>
    <col width="12" customWidth="1" min="9" max="9"/>
    <col width="14" customWidth="1" min="10" max="10"/>
    <col width="14" customWidth="1" min="11" max="11"/>
    <col width="13" customWidth="1" min="12" max="12"/>
    <col width="12" customWidth="1" min="13" max="13"/>
    <col width="14" customWidth="1" min="14" max="14"/>
  </cols>
  <sheetData>
    <row r="1">
      <c r="A1" s="1" t="inlineStr">
        <is>
          <t>Descente ETH</t>
        </is>
      </c>
    </row>
    <row r="2">
      <c r="A2" s="2" t="inlineStr">
        <is>
          <t>Colonnes jaunes : a remplir quand l'achat est passe. Le reste est calcule.</t>
        </is>
      </c>
    </row>
    <row r="4">
      <c r="A4" s="28" t="inlineStr">
        <is>
          <t>Prix de reference</t>
        </is>
      </c>
      <c r="B4" s="51">
        <f>Reglages!B18</f>
        <v/>
      </c>
      <c r="D4" s="28" t="inlineStr">
        <is>
          <t>Date du premier achat</t>
        </is>
      </c>
      <c r="E4" s="52" t="n"/>
    </row>
    <row r="5">
      <c r="A5" s="28" t="inlineStr">
        <is>
          <t>Budget alloue</t>
        </is>
      </c>
      <c r="B5" s="53">
        <f>Reglages!E18</f>
        <v/>
      </c>
      <c r="D5" s="28" t="inlineStr">
        <is>
          <t>Jours ecoules</t>
        </is>
      </c>
      <c r="E5" s="54">
        <f>IF(E4="","",TODAY()-E4)</f>
        <v/>
      </c>
    </row>
    <row r="6">
      <c r="A6" s="28" t="inlineStr">
        <is>
          <t>Profondeur de l'echelle</t>
        </is>
      </c>
      <c r="B6" s="55">
        <f>Reglages!F18</f>
        <v/>
      </c>
      <c r="D6" s="28" t="inlineStr">
        <is>
          <t>Seuil d'abandon</t>
        </is>
      </c>
      <c r="E6" s="51">
        <f>B7*(1-0.15)</f>
        <v/>
      </c>
      <c r="F6" s="30" t="inlineStr">
        <is>
          <t>15 % sous le dernier palier. En dessous, on n'ajoute plus rien.</t>
        </is>
      </c>
    </row>
    <row r="7">
      <c r="A7" s="28" t="inlineStr">
        <is>
          <t>Prix du dernier palier</t>
        </is>
      </c>
      <c r="B7" s="51">
        <f>Reglages!J18</f>
        <v/>
      </c>
    </row>
    <row r="8">
      <c r="A8" s="28" t="inlineStr">
        <is>
          <t>Objectif net a la revente</t>
        </is>
      </c>
      <c r="B8" s="56">
        <f>Reglages!B6</f>
        <v/>
      </c>
    </row>
    <row r="9">
      <c r="A9" s="28" t="inlineStr">
        <is>
          <t>Prix actuel du marche</t>
        </is>
      </c>
      <c r="B9" s="34" t="n">
        <v>2484.1</v>
      </c>
    </row>
    <row r="12" ht="34" customHeight="1">
      <c r="A12" s="6" t="inlineStr">
        <is>
          <t>Palier</t>
        </is>
      </c>
      <c r="B12" s="6" t="inlineStr">
        <is>
          <t>Prix cible</t>
        </is>
      </c>
      <c r="C12" s="6" t="inlineStr">
        <is>
          <t>Mise prevue
(EUR)</t>
        </is>
      </c>
      <c r="D12" s="6" t="inlineStr">
        <is>
          <t>Fait ?
(1 = oui)</t>
        </is>
      </c>
      <c r="E12" s="6" t="inlineStr">
        <is>
          <t>Prix reellement
paye</t>
        </is>
      </c>
      <c r="F12" s="6" t="inlineStr">
        <is>
          <t>Montant reellement
investi (EUR)</t>
        </is>
      </c>
      <c r="G12" s="6" t="inlineStr">
        <is>
          <t>Unites
obtenues</t>
        </is>
      </c>
      <c r="H12" s="6" t="inlineStr">
        <is>
          <t>Cumul
investi</t>
        </is>
      </c>
      <c r="I12" s="6" t="inlineStr">
        <is>
          <t>Cumul
unites</t>
        </is>
      </c>
      <c r="J12" s="6" t="inlineStr">
        <is>
          <t>Prix de revient
moyen</t>
        </is>
      </c>
      <c r="K12" s="6" t="inlineStr">
        <is>
          <t>Prix de revente
(+2 % net)</t>
        </is>
      </c>
      <c r="L12" s="6" t="inlineStr">
        <is>
          <t>Valeur au
prix actuel</t>
        </is>
      </c>
      <c r="M12" s="6" t="inlineStr">
        <is>
          <t>P&amp;L latent</t>
        </is>
      </c>
      <c r="N12" s="6" t="inlineStr">
        <is>
          <t>Rebond requis
depuis ce palier</t>
        </is>
      </c>
    </row>
    <row r="13">
      <c r="A13" s="57" t="n">
        <v>1</v>
      </c>
      <c r="B13" s="8">
        <f>IF(1&gt;Reglages!$G$18,"",$B$4*(1-Reglages!$I$18*0))</f>
        <v/>
      </c>
      <c r="C13" s="8">
        <f>IF(1&gt;Reglages!$G$18,"",$B$5*Reglages!$H$18^0/SUMPRODUCT(Reglages!$H$18^(ROW(INDIRECT("1:"&amp;Reglages!$G$18))-1)))</f>
        <v/>
      </c>
      <c r="D13" s="39" t="n"/>
      <c r="E13" s="58" t="n"/>
      <c r="F13" s="58" t="n"/>
      <c r="G13" s="10">
        <f>IF(OR(D13&lt;&gt;1,E13="",E13=0),0,F13/E13*(1-Reglages!$B$5))</f>
        <v/>
      </c>
      <c r="H13" s="8">
        <f>SUM($F$13:F13)</f>
        <v/>
      </c>
      <c r="I13" s="10">
        <f>SUM($G$13:G13)</f>
        <v/>
      </c>
      <c r="J13" s="8">
        <f>IF(I13=0,"",H13/I13)</f>
        <v/>
      </c>
      <c r="K13" s="11">
        <f>IF(I13=0,"",J13*(1+$B$8)/(1-Reglages!$B$5))</f>
        <v/>
      </c>
      <c r="L13" s="8">
        <f>I13*$B$9</f>
        <v/>
      </c>
      <c r="M13" s="13">
        <f>IF(I13=0,"",L13-H13)</f>
        <v/>
      </c>
      <c r="N13" s="12">
        <f>IF(OR(I13=0,B13=""),"",K13/B13-1)</f>
        <v/>
      </c>
    </row>
    <row r="14">
      <c r="A14" s="57" t="n">
        <v>2</v>
      </c>
      <c r="B14" s="8">
        <f>IF(2&gt;Reglages!$G$18,"",$B$4*(1-Reglages!$I$18*1))</f>
        <v/>
      </c>
      <c r="C14" s="8">
        <f>IF(2&gt;Reglages!$G$18,"",$B$5*Reglages!$H$18^1/SUMPRODUCT(Reglages!$H$18^(ROW(INDIRECT("1:"&amp;Reglages!$G$18))-1)))</f>
        <v/>
      </c>
      <c r="D14" s="39" t="n"/>
      <c r="E14" s="58" t="n"/>
      <c r="F14" s="58" t="n"/>
      <c r="G14" s="10">
        <f>IF(OR(D14&lt;&gt;1,E14="",E14=0),0,F14/E14*(1-Reglages!$B$5))</f>
        <v/>
      </c>
      <c r="H14" s="8">
        <f>SUM($F$13:F14)</f>
        <v/>
      </c>
      <c r="I14" s="10">
        <f>SUM($G$13:G14)</f>
        <v/>
      </c>
      <c r="J14" s="8">
        <f>IF(I14=0,"",H14/I14)</f>
        <v/>
      </c>
      <c r="K14" s="11">
        <f>IF(I14=0,"",J14*(1+$B$8)/(1-Reglages!$B$5))</f>
        <v/>
      </c>
      <c r="L14" s="8">
        <f>I14*$B$9</f>
        <v/>
      </c>
      <c r="M14" s="13">
        <f>IF(I14=0,"",L14-H14)</f>
        <v/>
      </c>
      <c r="N14" s="12">
        <f>IF(OR(I14=0,B14=""),"",K14/B14-1)</f>
        <v/>
      </c>
    </row>
    <row r="15">
      <c r="A15" s="57" t="n">
        <v>3</v>
      </c>
      <c r="B15" s="8">
        <f>IF(3&gt;Reglages!$G$18,"",$B$4*(1-Reglages!$I$18*2))</f>
        <v/>
      </c>
      <c r="C15" s="8">
        <f>IF(3&gt;Reglages!$G$18,"",$B$5*Reglages!$H$18^2/SUMPRODUCT(Reglages!$H$18^(ROW(INDIRECT("1:"&amp;Reglages!$G$18))-1)))</f>
        <v/>
      </c>
      <c r="D15" s="39" t="n"/>
      <c r="E15" s="58" t="n"/>
      <c r="F15" s="58" t="n"/>
      <c r="G15" s="10">
        <f>IF(OR(D15&lt;&gt;1,E15="",E15=0),0,F15/E15*(1-Reglages!$B$5))</f>
        <v/>
      </c>
      <c r="H15" s="8">
        <f>SUM($F$13:F15)</f>
        <v/>
      </c>
      <c r="I15" s="10">
        <f>SUM($G$13:G15)</f>
        <v/>
      </c>
      <c r="J15" s="8">
        <f>IF(I15=0,"",H15/I15)</f>
        <v/>
      </c>
      <c r="K15" s="11">
        <f>IF(I15=0,"",J15*(1+$B$8)/(1-Reglages!$B$5))</f>
        <v/>
      </c>
      <c r="L15" s="8">
        <f>I15*$B$9</f>
        <v/>
      </c>
      <c r="M15" s="13">
        <f>IF(I15=0,"",L15-H15)</f>
        <v/>
      </c>
      <c r="N15" s="12">
        <f>IF(OR(I15=0,B15=""),"",K15/B15-1)</f>
        <v/>
      </c>
    </row>
    <row r="16">
      <c r="A16" s="57" t="n">
        <v>4</v>
      </c>
      <c r="B16" s="8">
        <f>IF(4&gt;Reglages!$G$18,"",$B$4*(1-Reglages!$I$18*3))</f>
        <v/>
      </c>
      <c r="C16" s="8">
        <f>IF(4&gt;Reglages!$G$18,"",$B$5*Reglages!$H$18^3/SUMPRODUCT(Reglages!$H$18^(ROW(INDIRECT("1:"&amp;Reglages!$G$18))-1)))</f>
        <v/>
      </c>
      <c r="D16" s="39" t="n"/>
      <c r="E16" s="58" t="n"/>
      <c r="F16" s="58" t="n"/>
      <c r="G16" s="10">
        <f>IF(OR(D16&lt;&gt;1,E16="",E16=0),0,F16/E16*(1-Reglages!$B$5))</f>
        <v/>
      </c>
      <c r="H16" s="8">
        <f>SUM($F$13:F16)</f>
        <v/>
      </c>
      <c r="I16" s="10">
        <f>SUM($G$13:G16)</f>
        <v/>
      </c>
      <c r="J16" s="8">
        <f>IF(I16=0,"",H16/I16)</f>
        <v/>
      </c>
      <c r="K16" s="11">
        <f>IF(I16=0,"",J16*(1+$B$8)/(1-Reglages!$B$5))</f>
        <v/>
      </c>
      <c r="L16" s="8">
        <f>I16*$B$9</f>
        <v/>
      </c>
      <c r="M16" s="13">
        <f>IF(I16=0,"",L16-H16)</f>
        <v/>
      </c>
      <c r="N16" s="12">
        <f>IF(OR(I16=0,B16=""),"",K16/B16-1)</f>
        <v/>
      </c>
    </row>
    <row r="17">
      <c r="A17" s="57" t="n">
        <v>5</v>
      </c>
      <c r="B17" s="8">
        <f>IF(5&gt;Reglages!$G$18,"",$B$4*(1-Reglages!$I$18*4))</f>
        <v/>
      </c>
      <c r="C17" s="8">
        <f>IF(5&gt;Reglages!$G$18,"",$B$5*Reglages!$H$18^4/SUMPRODUCT(Reglages!$H$18^(ROW(INDIRECT("1:"&amp;Reglages!$G$18))-1)))</f>
        <v/>
      </c>
      <c r="D17" s="39" t="n"/>
      <c r="E17" s="58" t="n"/>
      <c r="F17" s="58" t="n"/>
      <c r="G17" s="10">
        <f>IF(OR(D17&lt;&gt;1,E17="",E17=0),0,F17/E17*(1-Reglages!$B$5))</f>
        <v/>
      </c>
      <c r="H17" s="8">
        <f>SUM($F$13:F17)</f>
        <v/>
      </c>
      <c r="I17" s="10">
        <f>SUM($G$13:G17)</f>
        <v/>
      </c>
      <c r="J17" s="8">
        <f>IF(I17=0,"",H17/I17)</f>
        <v/>
      </c>
      <c r="K17" s="11">
        <f>IF(I17=0,"",J17*(1+$B$8)/(1-Reglages!$B$5))</f>
        <v/>
      </c>
      <c r="L17" s="8">
        <f>I17*$B$9</f>
        <v/>
      </c>
      <c r="M17" s="13">
        <f>IF(I17=0,"",L17-H17)</f>
        <v/>
      </c>
      <c r="N17" s="12">
        <f>IF(OR(I17=0,B17=""),"",K17/B17-1)</f>
        <v/>
      </c>
    </row>
    <row r="18">
      <c r="A18" s="57" t="n">
        <v>6</v>
      </c>
      <c r="B18" s="8">
        <f>IF(6&gt;Reglages!$G$18,"",$B$4*(1-Reglages!$I$18*5))</f>
        <v/>
      </c>
      <c r="C18" s="8">
        <f>IF(6&gt;Reglages!$G$18,"",$B$5*Reglages!$H$18^5/SUMPRODUCT(Reglages!$H$18^(ROW(INDIRECT("1:"&amp;Reglages!$G$18))-1)))</f>
        <v/>
      </c>
      <c r="D18" s="39" t="n"/>
      <c r="E18" s="58" t="n"/>
      <c r="F18" s="58" t="n"/>
      <c r="G18" s="10">
        <f>IF(OR(D18&lt;&gt;1,E18="",E18=0),0,F18/E18*(1-Reglages!$B$5))</f>
        <v/>
      </c>
      <c r="H18" s="8">
        <f>SUM($F$13:F18)</f>
        <v/>
      </c>
      <c r="I18" s="10">
        <f>SUM($G$13:G18)</f>
        <v/>
      </c>
      <c r="J18" s="8">
        <f>IF(I18=0,"",H18/I18)</f>
        <v/>
      </c>
      <c r="K18" s="11">
        <f>IF(I18=0,"",J18*(1+$B$8)/(1-Reglages!$B$5))</f>
        <v/>
      </c>
      <c r="L18" s="8">
        <f>I18*$B$9</f>
        <v/>
      </c>
      <c r="M18" s="13">
        <f>IF(I18=0,"",L18-H18)</f>
        <v/>
      </c>
      <c r="N18" s="12">
        <f>IF(OR(I18=0,B18=""),"",K18/B18-1)</f>
        <v/>
      </c>
    </row>
    <row r="19">
      <c r="A19" s="57" t="n">
        <v>7</v>
      </c>
      <c r="B19" s="8">
        <f>IF(7&gt;Reglages!$G$18,"",$B$4*(1-Reglages!$I$18*6))</f>
        <v/>
      </c>
      <c r="C19" s="8">
        <f>IF(7&gt;Reglages!$G$18,"",$B$5*Reglages!$H$18^6/SUMPRODUCT(Reglages!$H$18^(ROW(INDIRECT("1:"&amp;Reglages!$G$18))-1)))</f>
        <v/>
      </c>
      <c r="D19" s="39" t="n"/>
      <c r="E19" s="58" t="n"/>
      <c r="F19" s="58" t="n"/>
      <c r="G19" s="10">
        <f>IF(OR(D19&lt;&gt;1,E19="",E19=0),0,F19/E19*(1-Reglages!$B$5))</f>
        <v/>
      </c>
      <c r="H19" s="8">
        <f>SUM($F$13:F19)</f>
        <v/>
      </c>
      <c r="I19" s="10">
        <f>SUM($G$13:G19)</f>
        <v/>
      </c>
      <c r="J19" s="8">
        <f>IF(I19=0,"",H19/I19)</f>
        <v/>
      </c>
      <c r="K19" s="11">
        <f>IF(I19=0,"",J19*(1+$B$8)/(1-Reglages!$B$5))</f>
        <v/>
      </c>
      <c r="L19" s="8">
        <f>I19*$B$9</f>
        <v/>
      </c>
      <c r="M19" s="13">
        <f>IF(I19=0,"",L19-H19)</f>
        <v/>
      </c>
      <c r="N19" s="12">
        <f>IF(OR(I19=0,B19=""),"",K19/B19-1)</f>
        <v/>
      </c>
    </row>
    <row r="20">
      <c r="A20" s="57" t="n">
        <v>8</v>
      </c>
      <c r="B20" s="8">
        <f>IF(8&gt;Reglages!$G$18,"",$B$4*(1-Reglages!$I$18*7))</f>
        <v/>
      </c>
      <c r="C20" s="8">
        <f>IF(8&gt;Reglages!$G$18,"",$B$5*Reglages!$H$18^7/SUMPRODUCT(Reglages!$H$18^(ROW(INDIRECT("1:"&amp;Reglages!$G$18))-1)))</f>
        <v/>
      </c>
      <c r="D20" s="39" t="n"/>
      <c r="E20" s="58" t="n"/>
      <c r="F20" s="58" t="n"/>
      <c r="G20" s="10">
        <f>IF(OR(D20&lt;&gt;1,E20="",E20=0),0,F20/E20*(1-Reglages!$B$5))</f>
        <v/>
      </c>
      <c r="H20" s="8">
        <f>SUM($F$13:F20)</f>
        <v/>
      </c>
      <c r="I20" s="10">
        <f>SUM($G$13:G20)</f>
        <v/>
      </c>
      <c r="J20" s="8">
        <f>IF(I20=0,"",H20/I20)</f>
        <v/>
      </c>
      <c r="K20" s="11">
        <f>IF(I20=0,"",J20*(1+$B$8)/(1-Reglages!$B$5))</f>
        <v/>
      </c>
      <c r="L20" s="8">
        <f>I20*$B$9</f>
        <v/>
      </c>
      <c r="M20" s="13">
        <f>IF(I20=0,"",L20-H20)</f>
        <v/>
      </c>
      <c r="N20" s="12">
        <f>IF(OR(I20=0,B20=""),"",K20/B20-1)</f>
        <v/>
      </c>
    </row>
    <row r="21">
      <c r="A21" s="57" t="n">
        <v>9</v>
      </c>
      <c r="B21" s="8">
        <f>IF(9&gt;Reglages!$G$18,"",$B$4*(1-Reglages!$I$18*8))</f>
        <v/>
      </c>
      <c r="C21" s="8">
        <f>IF(9&gt;Reglages!$G$18,"",$B$5*Reglages!$H$18^8/SUMPRODUCT(Reglages!$H$18^(ROW(INDIRECT("1:"&amp;Reglages!$G$18))-1)))</f>
        <v/>
      </c>
      <c r="D21" s="39" t="n"/>
      <c r="E21" s="58" t="n"/>
      <c r="F21" s="58" t="n"/>
      <c r="G21" s="10">
        <f>IF(OR(D21&lt;&gt;1,E21="",E21=0),0,F21/E21*(1-Reglages!$B$5))</f>
        <v/>
      </c>
      <c r="H21" s="8">
        <f>SUM($F$13:F21)</f>
        <v/>
      </c>
      <c r="I21" s="10">
        <f>SUM($G$13:G21)</f>
        <v/>
      </c>
      <c r="J21" s="8">
        <f>IF(I21=0,"",H21/I21)</f>
        <v/>
      </c>
      <c r="K21" s="11">
        <f>IF(I21=0,"",J21*(1+$B$8)/(1-Reglages!$B$5))</f>
        <v/>
      </c>
      <c r="L21" s="8">
        <f>I21*$B$9</f>
        <v/>
      </c>
      <c r="M21" s="13">
        <f>IF(I21=0,"",L21-H21)</f>
        <v/>
      </c>
      <c r="N21" s="12">
        <f>IF(OR(I21=0,B21=""),"",K21/B21-1)</f>
        <v/>
      </c>
    </row>
    <row r="22">
      <c r="A22" s="57" t="n">
        <v>10</v>
      </c>
      <c r="B22" s="8">
        <f>IF(10&gt;Reglages!$G$18,"",$B$4*(1-Reglages!$I$18*9))</f>
        <v/>
      </c>
      <c r="C22" s="8">
        <f>IF(10&gt;Reglages!$G$18,"",$B$5*Reglages!$H$18^9/SUMPRODUCT(Reglages!$H$18^(ROW(INDIRECT("1:"&amp;Reglages!$G$18))-1)))</f>
        <v/>
      </c>
      <c r="D22" s="39" t="n"/>
      <c r="E22" s="58" t="n"/>
      <c r="F22" s="58" t="n"/>
      <c r="G22" s="10">
        <f>IF(OR(D22&lt;&gt;1,E22="",E22=0),0,F22/E22*(1-Reglages!$B$5))</f>
        <v/>
      </c>
      <c r="H22" s="8">
        <f>SUM($F$13:F22)</f>
        <v/>
      </c>
      <c r="I22" s="10">
        <f>SUM($G$13:G22)</f>
        <v/>
      </c>
      <c r="J22" s="8">
        <f>IF(I22=0,"",H22/I22)</f>
        <v/>
      </c>
      <c r="K22" s="11">
        <f>IF(I22=0,"",J22*(1+$B$8)/(1-Reglages!$B$5))</f>
        <v/>
      </c>
      <c r="L22" s="8">
        <f>I22*$B$9</f>
        <v/>
      </c>
      <c r="M22" s="13">
        <f>IF(I22=0,"",L22-H22)</f>
        <v/>
      </c>
      <c r="N22" s="12">
        <f>IF(OR(I22=0,B22=""),"",K22/B22-1)</f>
        <v/>
      </c>
    </row>
    <row r="23">
      <c r="A23" s="57" t="n">
        <v>11</v>
      </c>
      <c r="B23" s="8">
        <f>IF(11&gt;Reglages!$G$18,"",$B$4*(1-Reglages!$I$18*10))</f>
        <v/>
      </c>
      <c r="C23" s="8">
        <f>IF(11&gt;Reglages!$G$18,"",$B$5*Reglages!$H$18^10/SUMPRODUCT(Reglages!$H$18^(ROW(INDIRECT("1:"&amp;Reglages!$G$18))-1)))</f>
        <v/>
      </c>
      <c r="D23" s="39" t="n"/>
      <c r="E23" s="58" t="n"/>
      <c r="F23" s="58" t="n"/>
      <c r="G23" s="10">
        <f>IF(OR(D23&lt;&gt;1,E23="",E23=0),0,F23/E23*(1-Reglages!$B$5))</f>
        <v/>
      </c>
      <c r="H23" s="8">
        <f>SUM($F$13:F23)</f>
        <v/>
      </c>
      <c r="I23" s="10">
        <f>SUM($G$13:G23)</f>
        <v/>
      </c>
      <c r="J23" s="8">
        <f>IF(I23=0,"",H23/I23)</f>
        <v/>
      </c>
      <c r="K23" s="11">
        <f>IF(I23=0,"",J23*(1+$B$8)/(1-Reglages!$B$5))</f>
        <v/>
      </c>
      <c r="L23" s="8">
        <f>I23*$B$9</f>
        <v/>
      </c>
      <c r="M23" s="13">
        <f>IF(I23=0,"",L23-H23)</f>
        <v/>
      </c>
      <c r="N23" s="12">
        <f>IF(OR(I23=0,B23=""),"",K23/B23-1)</f>
        <v/>
      </c>
    </row>
    <row r="24">
      <c r="A24" s="57" t="n">
        <v>12</v>
      </c>
      <c r="B24" s="8">
        <f>IF(12&gt;Reglages!$G$18,"",$B$4*(1-Reglages!$I$18*11))</f>
        <v/>
      </c>
      <c r="C24" s="8">
        <f>IF(12&gt;Reglages!$G$18,"",$B$5*Reglages!$H$18^11/SUMPRODUCT(Reglages!$H$18^(ROW(INDIRECT("1:"&amp;Reglages!$G$18))-1)))</f>
        <v/>
      </c>
      <c r="D24" s="39" t="n"/>
      <c r="E24" s="58" t="n"/>
      <c r="F24" s="58" t="n"/>
      <c r="G24" s="10">
        <f>IF(OR(D24&lt;&gt;1,E24="",E24=0),0,F24/E24*(1-Reglages!$B$5))</f>
        <v/>
      </c>
      <c r="H24" s="8">
        <f>SUM($F$13:F24)</f>
        <v/>
      </c>
      <c r="I24" s="10">
        <f>SUM($G$13:G24)</f>
        <v/>
      </c>
      <c r="J24" s="8">
        <f>IF(I24=0,"",H24/I24)</f>
        <v/>
      </c>
      <c r="K24" s="11">
        <f>IF(I24=0,"",J24*(1+$B$8)/(1-Reglages!$B$5))</f>
        <v/>
      </c>
      <c r="L24" s="8">
        <f>I24*$B$9</f>
        <v/>
      </c>
      <c r="M24" s="13">
        <f>IF(I24=0,"",L24-H24)</f>
        <v/>
      </c>
      <c r="N24" s="12">
        <f>IF(OR(I24=0,B24=""),"",K24/B24-1)</f>
        <v/>
      </c>
    </row>
    <row r="25">
      <c r="A25" s="57" t="n">
        <v>13</v>
      </c>
      <c r="B25" s="8">
        <f>IF(13&gt;Reglages!$G$18,"",$B$4*(1-Reglages!$I$18*12))</f>
        <v/>
      </c>
      <c r="C25" s="8">
        <f>IF(13&gt;Reglages!$G$18,"",$B$5*Reglages!$H$18^12/SUMPRODUCT(Reglages!$H$18^(ROW(INDIRECT("1:"&amp;Reglages!$G$18))-1)))</f>
        <v/>
      </c>
      <c r="D25" s="39" t="n"/>
      <c r="E25" s="58" t="n"/>
      <c r="F25" s="58" t="n"/>
      <c r="G25" s="10">
        <f>IF(OR(D25&lt;&gt;1,E25="",E25=0),0,F25/E25*(1-Reglages!$B$5))</f>
        <v/>
      </c>
      <c r="H25" s="8">
        <f>SUM($F$13:F25)</f>
        <v/>
      </c>
      <c r="I25" s="10">
        <f>SUM($G$13:G25)</f>
        <v/>
      </c>
      <c r="J25" s="8">
        <f>IF(I25=0,"",H25/I25)</f>
        <v/>
      </c>
      <c r="K25" s="11">
        <f>IF(I25=0,"",J25*(1+$B$8)/(1-Reglages!$B$5))</f>
        <v/>
      </c>
      <c r="L25" s="8">
        <f>I25*$B$9</f>
        <v/>
      </c>
      <c r="M25" s="13">
        <f>IF(I25=0,"",L25-H25)</f>
        <v/>
      </c>
      <c r="N25" s="12">
        <f>IF(OR(I25=0,B25=""),"",K25/B25-1)</f>
        <v/>
      </c>
    </row>
    <row r="26">
      <c r="A26" s="57" t="n">
        <v>14</v>
      </c>
      <c r="B26" s="8">
        <f>IF(14&gt;Reglages!$G$18,"",$B$4*(1-Reglages!$I$18*13))</f>
        <v/>
      </c>
      <c r="C26" s="8">
        <f>IF(14&gt;Reglages!$G$18,"",$B$5*Reglages!$H$18^13/SUMPRODUCT(Reglages!$H$18^(ROW(INDIRECT("1:"&amp;Reglages!$G$18))-1)))</f>
        <v/>
      </c>
      <c r="D26" s="39" t="n"/>
      <c r="E26" s="58" t="n"/>
      <c r="F26" s="58" t="n"/>
      <c r="G26" s="10">
        <f>IF(OR(D26&lt;&gt;1,E26="",E26=0),0,F26/E26*(1-Reglages!$B$5))</f>
        <v/>
      </c>
      <c r="H26" s="8">
        <f>SUM($F$13:F26)</f>
        <v/>
      </c>
      <c r="I26" s="10">
        <f>SUM($G$13:G26)</f>
        <v/>
      </c>
      <c r="J26" s="8">
        <f>IF(I26=0,"",H26/I26)</f>
        <v/>
      </c>
      <c r="K26" s="11">
        <f>IF(I26=0,"",J26*(1+$B$8)/(1-Reglages!$B$5))</f>
        <v/>
      </c>
      <c r="L26" s="8">
        <f>I26*$B$9</f>
        <v/>
      </c>
      <c r="M26" s="13">
        <f>IF(I26=0,"",L26-H26)</f>
        <v/>
      </c>
      <c r="N26" s="12">
        <f>IF(OR(I26=0,B26=""),"",K26/B26-1)</f>
        <v/>
      </c>
    </row>
    <row r="27">
      <c r="A27" s="6" t="inlineStr">
        <is>
          <t>TOTAL</t>
        </is>
      </c>
      <c r="B27" s="22" t="n"/>
      <c r="C27" s="23">
        <f>SUM(C13:C26)</f>
        <v/>
      </c>
      <c r="D27" s="22" t="n"/>
      <c r="E27" s="22" t="n"/>
      <c r="F27" s="23">
        <f>SUM(F13:F26)</f>
        <v/>
      </c>
      <c r="G27" s="59">
        <f>SUM(G13:G26)</f>
        <v/>
      </c>
      <c r="H27" s="22" t="n"/>
      <c r="I27" s="22" t="n"/>
      <c r="J27" s="23">
        <f>IF(G27=0,"",F27/G27)</f>
        <v/>
      </c>
      <c r="K27" s="23">
        <f>IF(G27=0,"",J27*(1+$B$8)/(1-Reglages!$B$5))</f>
        <v/>
      </c>
      <c r="L27" s="23">
        <f>G27*$B$9</f>
        <v/>
      </c>
      <c r="M27" s="25">
        <f>IF(G27=0,"",L27-F27)</f>
        <v/>
      </c>
      <c r="N27" s="60">
        <f>IF(OR(G27=0,$B$9=0),"",K27/$B$9-1)</f>
        <v/>
      </c>
    </row>
    <row r="29">
      <c r="A29" s="5" t="inlineStr">
        <is>
          <t>Si vous revendez tout maintenant au prix de revente</t>
        </is>
      </c>
      <c r="E29" s="61">
        <f>IF(G27=0,"",F27*$B$8)</f>
        <v/>
      </c>
    </row>
    <row r="30">
      <c r="A30" s="5" t="inlineStr">
        <is>
          <t>Etat de la descente</t>
        </is>
      </c>
      <c r="E30" s="7">
        <f>IF(G27=0,"pas commencee",IF($B$9&lt;=$E$6,"ABANDON : sous le seuil",IF(AND($E$5&lt;&gt;"",$E$5&gt;Reglages!$B$8),"BLOQUEE : trop longue",IF($B$9&gt;=K27,"REVENDRE MAINTENANT",IF(COUNT(D13:D26)-COUNTIF(D13:D26,1)=0,"echelle epuisee","en cours"))))</f>
        <v/>
      </c>
    </row>
  </sheetData>
  <conditionalFormatting sqref="E30">
    <cfRule type="expression" priority="1" dxfId="0">
      <formula>OR(E30="ABANDON : sous le seuil",E30="BLOQUEE : trop longue")</formula>
    </cfRule>
    <cfRule type="expression" priority="2" dxfId="1">
      <formula>E30="REVENDRE MAINTENANT"</formula>
    </cfRule>
  </conditionalFormatting>
  <conditionalFormatting sqref="M13:M27">
    <cfRule type="cellIs" priority="3" operator="lessThan" dxfId="3">
      <formula>0</formula>
    </cfRule>
  </conditionalFormatting>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30"/>
  <sheetViews>
    <sheetView showGridLines="0" workbookViewId="0">
      <pane ySplit="12" topLeftCell="A13" activePane="bottomLeft" state="frozen"/>
      <selection pane="bottomLeft" activeCell="A1" sqref="A1"/>
    </sheetView>
  </sheetViews>
  <sheetFormatPr baseColWidth="8" defaultRowHeight="15"/>
  <cols>
    <col width="7" customWidth="1" min="1" max="1"/>
    <col width="13" customWidth="1" min="2" max="2"/>
    <col width="12" customWidth="1" min="3" max="3"/>
    <col width="9" customWidth="1" min="4" max="4"/>
    <col width="14" customWidth="1" min="5" max="5"/>
    <col width="15" customWidth="1" min="6" max="6"/>
    <col width="12" customWidth="1" min="7" max="7"/>
    <col width="12" customWidth="1" min="8" max="8"/>
    <col width="12" customWidth="1" min="9" max="9"/>
    <col width="14" customWidth="1" min="10" max="10"/>
    <col width="14" customWidth="1" min="11" max="11"/>
    <col width="13" customWidth="1" min="12" max="12"/>
    <col width="12" customWidth="1" min="13" max="13"/>
    <col width="14" customWidth="1" min="14" max="14"/>
  </cols>
  <sheetData>
    <row r="1">
      <c r="A1" s="1" t="inlineStr">
        <is>
          <t>Descente TRX</t>
        </is>
      </c>
    </row>
    <row r="2">
      <c r="A2" s="2" t="inlineStr">
        <is>
          <t>Colonnes jaunes : a remplir quand l'achat est passe. Le reste est calcule.</t>
        </is>
      </c>
    </row>
    <row r="4">
      <c r="A4" s="28" t="inlineStr">
        <is>
          <t>Prix de reference</t>
        </is>
      </c>
      <c r="B4" s="62">
        <f>Reglages!B19</f>
        <v/>
      </c>
      <c r="D4" s="28" t="inlineStr">
        <is>
          <t>Date du premier achat</t>
        </is>
      </c>
      <c r="E4" s="52" t="n"/>
    </row>
    <row r="5">
      <c r="A5" s="28" t="inlineStr">
        <is>
          <t>Budget alloue</t>
        </is>
      </c>
      <c r="B5" s="53">
        <f>Reglages!E19</f>
        <v/>
      </c>
      <c r="D5" s="28" t="inlineStr">
        <is>
          <t>Jours ecoules</t>
        </is>
      </c>
      <c r="E5" s="54">
        <f>IF(E4="","",TODAY()-E4)</f>
        <v/>
      </c>
    </row>
    <row r="6">
      <c r="A6" s="28" t="inlineStr">
        <is>
          <t>Profondeur de l'echelle</t>
        </is>
      </c>
      <c r="B6" s="55">
        <f>Reglages!F19</f>
        <v/>
      </c>
      <c r="D6" s="28" t="inlineStr">
        <is>
          <t>Seuil d'abandon</t>
        </is>
      </c>
      <c r="E6" s="62">
        <f>B7*(1-0.15)</f>
        <v/>
      </c>
      <c r="F6" s="30" t="inlineStr">
        <is>
          <t>15 % sous le dernier palier. En dessous, on n'ajoute plus rien.</t>
        </is>
      </c>
    </row>
    <row r="7">
      <c r="A7" s="28" t="inlineStr">
        <is>
          <t>Prix du dernier palier</t>
        </is>
      </c>
      <c r="B7" s="62">
        <f>Reglages!J19</f>
        <v/>
      </c>
    </row>
    <row r="8">
      <c r="A8" s="28" t="inlineStr">
        <is>
          <t>Objectif net a la revente</t>
        </is>
      </c>
      <c r="B8" s="56">
        <f>Reglages!B6</f>
        <v/>
      </c>
    </row>
    <row r="9">
      <c r="A9" s="28" t="inlineStr">
        <is>
          <t>Prix actuel du marche</t>
        </is>
      </c>
      <c r="B9" s="45" t="n">
        <v>0.3351</v>
      </c>
    </row>
    <row r="12" ht="34" customHeight="1">
      <c r="A12" s="6" t="inlineStr">
        <is>
          <t>Palier</t>
        </is>
      </c>
      <c r="B12" s="6" t="inlineStr">
        <is>
          <t>Prix cible</t>
        </is>
      </c>
      <c r="C12" s="6" t="inlineStr">
        <is>
          <t>Mise prevue
(EUR)</t>
        </is>
      </c>
      <c r="D12" s="6" t="inlineStr">
        <is>
          <t>Fait ?
(1 = oui)</t>
        </is>
      </c>
      <c r="E12" s="6" t="inlineStr">
        <is>
          <t>Prix reellement
paye</t>
        </is>
      </c>
      <c r="F12" s="6" t="inlineStr">
        <is>
          <t>Montant reellement
investi (EUR)</t>
        </is>
      </c>
      <c r="G12" s="6" t="inlineStr">
        <is>
          <t>Unites
obtenues</t>
        </is>
      </c>
      <c r="H12" s="6" t="inlineStr">
        <is>
          <t>Cumul
investi</t>
        </is>
      </c>
      <c r="I12" s="6" t="inlineStr">
        <is>
          <t>Cumul
unites</t>
        </is>
      </c>
      <c r="J12" s="6" t="inlineStr">
        <is>
          <t>Prix de revient
moyen</t>
        </is>
      </c>
      <c r="K12" s="6" t="inlineStr">
        <is>
          <t>Prix de revente
(+2 % net)</t>
        </is>
      </c>
      <c r="L12" s="6" t="inlineStr">
        <is>
          <t>Valeur au
prix actuel</t>
        </is>
      </c>
      <c r="M12" s="6" t="inlineStr">
        <is>
          <t>P&amp;L latent</t>
        </is>
      </c>
      <c r="N12" s="6" t="inlineStr">
        <is>
          <t>Rebond requis
depuis ce palier</t>
        </is>
      </c>
    </row>
    <row r="13">
      <c r="A13" s="57" t="n">
        <v>1</v>
      </c>
      <c r="B13" s="16">
        <f>IF(1&gt;Reglages!$G$19,"",$B$4*(1-Reglages!$I$19*0))</f>
        <v/>
      </c>
      <c r="C13" s="8">
        <f>IF(1&gt;Reglages!$G$19,"",$B$5*Reglages!$H$19^0/SUMPRODUCT(Reglages!$H$19^(ROW(INDIRECT("1:"&amp;Reglages!$G$19))-1)))</f>
        <v/>
      </c>
      <c r="D13" s="39" t="n"/>
      <c r="E13" s="63" t="n"/>
      <c r="F13" s="58" t="n"/>
      <c r="G13" s="10">
        <f>IF(OR(D13&lt;&gt;1,E13="",E13=0),0,F13/E13*(1-Reglages!$B$5))</f>
        <v/>
      </c>
      <c r="H13" s="8">
        <f>SUM($F$13:F13)</f>
        <v/>
      </c>
      <c r="I13" s="10">
        <f>SUM($G$13:G13)</f>
        <v/>
      </c>
      <c r="J13" s="16">
        <f>IF(I13=0,"",H13/I13)</f>
        <v/>
      </c>
      <c r="K13" s="17">
        <f>IF(I13=0,"",J13*(1+$B$8)/(1-Reglages!$B$5))</f>
        <v/>
      </c>
      <c r="L13" s="8">
        <f>I13*$B$9</f>
        <v/>
      </c>
      <c r="M13" s="13">
        <f>IF(I13=0,"",L13-H13)</f>
        <v/>
      </c>
      <c r="N13" s="12">
        <f>IF(OR(I13=0,B13=""),"",K13/B13-1)</f>
        <v/>
      </c>
    </row>
    <row r="14">
      <c r="A14" s="57" t="n">
        <v>2</v>
      </c>
      <c r="B14" s="16">
        <f>IF(2&gt;Reglages!$G$19,"",$B$4*(1-Reglages!$I$19*1))</f>
        <v/>
      </c>
      <c r="C14" s="8">
        <f>IF(2&gt;Reglages!$G$19,"",$B$5*Reglages!$H$19^1/SUMPRODUCT(Reglages!$H$19^(ROW(INDIRECT("1:"&amp;Reglages!$G$19))-1)))</f>
        <v/>
      </c>
      <c r="D14" s="39" t="n"/>
      <c r="E14" s="63" t="n"/>
      <c r="F14" s="58" t="n"/>
      <c r="G14" s="10">
        <f>IF(OR(D14&lt;&gt;1,E14="",E14=0),0,F14/E14*(1-Reglages!$B$5))</f>
        <v/>
      </c>
      <c r="H14" s="8">
        <f>SUM($F$13:F14)</f>
        <v/>
      </c>
      <c r="I14" s="10">
        <f>SUM($G$13:G14)</f>
        <v/>
      </c>
      <c r="J14" s="16">
        <f>IF(I14=0,"",H14/I14)</f>
        <v/>
      </c>
      <c r="K14" s="17">
        <f>IF(I14=0,"",J14*(1+$B$8)/(1-Reglages!$B$5))</f>
        <v/>
      </c>
      <c r="L14" s="8">
        <f>I14*$B$9</f>
        <v/>
      </c>
      <c r="M14" s="13">
        <f>IF(I14=0,"",L14-H14)</f>
        <v/>
      </c>
      <c r="N14" s="12">
        <f>IF(OR(I14=0,B14=""),"",K14/B14-1)</f>
        <v/>
      </c>
    </row>
    <row r="15">
      <c r="A15" s="57" t="n">
        <v>3</v>
      </c>
      <c r="B15" s="16">
        <f>IF(3&gt;Reglages!$G$19,"",$B$4*(1-Reglages!$I$19*2))</f>
        <v/>
      </c>
      <c r="C15" s="8">
        <f>IF(3&gt;Reglages!$G$19,"",$B$5*Reglages!$H$19^2/SUMPRODUCT(Reglages!$H$19^(ROW(INDIRECT("1:"&amp;Reglages!$G$19))-1)))</f>
        <v/>
      </c>
      <c r="D15" s="39" t="n"/>
      <c r="E15" s="63" t="n"/>
      <c r="F15" s="58" t="n"/>
      <c r="G15" s="10">
        <f>IF(OR(D15&lt;&gt;1,E15="",E15=0),0,F15/E15*(1-Reglages!$B$5))</f>
        <v/>
      </c>
      <c r="H15" s="8">
        <f>SUM($F$13:F15)</f>
        <v/>
      </c>
      <c r="I15" s="10">
        <f>SUM($G$13:G15)</f>
        <v/>
      </c>
      <c r="J15" s="16">
        <f>IF(I15=0,"",H15/I15)</f>
        <v/>
      </c>
      <c r="K15" s="17">
        <f>IF(I15=0,"",J15*(1+$B$8)/(1-Reglages!$B$5))</f>
        <v/>
      </c>
      <c r="L15" s="8">
        <f>I15*$B$9</f>
        <v/>
      </c>
      <c r="M15" s="13">
        <f>IF(I15=0,"",L15-H15)</f>
        <v/>
      </c>
      <c r="N15" s="12">
        <f>IF(OR(I15=0,B15=""),"",K15/B15-1)</f>
        <v/>
      </c>
    </row>
    <row r="16">
      <c r="A16" s="57" t="n">
        <v>4</v>
      </c>
      <c r="B16" s="16">
        <f>IF(4&gt;Reglages!$G$19,"",$B$4*(1-Reglages!$I$19*3))</f>
        <v/>
      </c>
      <c r="C16" s="8">
        <f>IF(4&gt;Reglages!$G$19,"",$B$5*Reglages!$H$19^3/SUMPRODUCT(Reglages!$H$19^(ROW(INDIRECT("1:"&amp;Reglages!$G$19))-1)))</f>
        <v/>
      </c>
      <c r="D16" s="39" t="n"/>
      <c r="E16" s="63" t="n"/>
      <c r="F16" s="58" t="n"/>
      <c r="G16" s="10">
        <f>IF(OR(D16&lt;&gt;1,E16="",E16=0),0,F16/E16*(1-Reglages!$B$5))</f>
        <v/>
      </c>
      <c r="H16" s="8">
        <f>SUM($F$13:F16)</f>
        <v/>
      </c>
      <c r="I16" s="10">
        <f>SUM($G$13:G16)</f>
        <v/>
      </c>
      <c r="J16" s="16">
        <f>IF(I16=0,"",H16/I16)</f>
        <v/>
      </c>
      <c r="K16" s="17">
        <f>IF(I16=0,"",J16*(1+$B$8)/(1-Reglages!$B$5))</f>
        <v/>
      </c>
      <c r="L16" s="8">
        <f>I16*$B$9</f>
        <v/>
      </c>
      <c r="M16" s="13">
        <f>IF(I16=0,"",L16-H16)</f>
        <v/>
      </c>
      <c r="N16" s="12">
        <f>IF(OR(I16=0,B16=""),"",K16/B16-1)</f>
        <v/>
      </c>
    </row>
    <row r="17">
      <c r="A17" s="57" t="n">
        <v>5</v>
      </c>
      <c r="B17" s="16">
        <f>IF(5&gt;Reglages!$G$19,"",$B$4*(1-Reglages!$I$19*4))</f>
        <v/>
      </c>
      <c r="C17" s="8">
        <f>IF(5&gt;Reglages!$G$19,"",$B$5*Reglages!$H$19^4/SUMPRODUCT(Reglages!$H$19^(ROW(INDIRECT("1:"&amp;Reglages!$G$19))-1)))</f>
        <v/>
      </c>
      <c r="D17" s="39" t="n"/>
      <c r="E17" s="63" t="n"/>
      <c r="F17" s="58" t="n"/>
      <c r="G17" s="10">
        <f>IF(OR(D17&lt;&gt;1,E17="",E17=0),0,F17/E17*(1-Reglages!$B$5))</f>
        <v/>
      </c>
      <c r="H17" s="8">
        <f>SUM($F$13:F17)</f>
        <v/>
      </c>
      <c r="I17" s="10">
        <f>SUM($G$13:G17)</f>
        <v/>
      </c>
      <c r="J17" s="16">
        <f>IF(I17=0,"",H17/I17)</f>
        <v/>
      </c>
      <c r="K17" s="17">
        <f>IF(I17=0,"",J17*(1+$B$8)/(1-Reglages!$B$5))</f>
        <v/>
      </c>
      <c r="L17" s="8">
        <f>I17*$B$9</f>
        <v/>
      </c>
      <c r="M17" s="13">
        <f>IF(I17=0,"",L17-H17)</f>
        <v/>
      </c>
      <c r="N17" s="12">
        <f>IF(OR(I17=0,B17=""),"",K17/B17-1)</f>
        <v/>
      </c>
    </row>
    <row r="18">
      <c r="A18" s="57" t="n">
        <v>6</v>
      </c>
      <c r="B18" s="16">
        <f>IF(6&gt;Reglages!$G$19,"",$B$4*(1-Reglages!$I$19*5))</f>
        <v/>
      </c>
      <c r="C18" s="8">
        <f>IF(6&gt;Reglages!$G$19,"",$B$5*Reglages!$H$19^5/SUMPRODUCT(Reglages!$H$19^(ROW(INDIRECT("1:"&amp;Reglages!$G$19))-1)))</f>
        <v/>
      </c>
      <c r="D18" s="39" t="n"/>
      <c r="E18" s="63" t="n"/>
      <c r="F18" s="58" t="n"/>
      <c r="G18" s="10">
        <f>IF(OR(D18&lt;&gt;1,E18="",E18=0),0,F18/E18*(1-Reglages!$B$5))</f>
        <v/>
      </c>
      <c r="H18" s="8">
        <f>SUM($F$13:F18)</f>
        <v/>
      </c>
      <c r="I18" s="10">
        <f>SUM($G$13:G18)</f>
        <v/>
      </c>
      <c r="J18" s="16">
        <f>IF(I18=0,"",H18/I18)</f>
        <v/>
      </c>
      <c r="K18" s="17">
        <f>IF(I18=0,"",J18*(1+$B$8)/(1-Reglages!$B$5))</f>
        <v/>
      </c>
      <c r="L18" s="8">
        <f>I18*$B$9</f>
        <v/>
      </c>
      <c r="M18" s="13">
        <f>IF(I18=0,"",L18-H18)</f>
        <v/>
      </c>
      <c r="N18" s="12">
        <f>IF(OR(I18=0,B18=""),"",K18/B18-1)</f>
        <v/>
      </c>
    </row>
    <row r="19">
      <c r="A19" s="57" t="n">
        <v>7</v>
      </c>
      <c r="B19" s="16">
        <f>IF(7&gt;Reglages!$G$19,"",$B$4*(1-Reglages!$I$19*6))</f>
        <v/>
      </c>
      <c r="C19" s="8">
        <f>IF(7&gt;Reglages!$G$19,"",$B$5*Reglages!$H$19^6/SUMPRODUCT(Reglages!$H$19^(ROW(INDIRECT("1:"&amp;Reglages!$G$19))-1)))</f>
        <v/>
      </c>
      <c r="D19" s="39" t="n"/>
      <c r="E19" s="63" t="n"/>
      <c r="F19" s="58" t="n"/>
      <c r="G19" s="10">
        <f>IF(OR(D19&lt;&gt;1,E19="",E19=0),0,F19/E19*(1-Reglages!$B$5))</f>
        <v/>
      </c>
      <c r="H19" s="8">
        <f>SUM($F$13:F19)</f>
        <v/>
      </c>
      <c r="I19" s="10">
        <f>SUM($G$13:G19)</f>
        <v/>
      </c>
      <c r="J19" s="16">
        <f>IF(I19=0,"",H19/I19)</f>
        <v/>
      </c>
      <c r="K19" s="17">
        <f>IF(I19=0,"",J19*(1+$B$8)/(1-Reglages!$B$5))</f>
        <v/>
      </c>
      <c r="L19" s="8">
        <f>I19*$B$9</f>
        <v/>
      </c>
      <c r="M19" s="13">
        <f>IF(I19=0,"",L19-H19)</f>
        <v/>
      </c>
      <c r="N19" s="12">
        <f>IF(OR(I19=0,B19=""),"",K19/B19-1)</f>
        <v/>
      </c>
    </row>
    <row r="20">
      <c r="A20" s="57" t="n">
        <v>8</v>
      </c>
      <c r="B20" s="16">
        <f>IF(8&gt;Reglages!$G$19,"",$B$4*(1-Reglages!$I$19*7))</f>
        <v/>
      </c>
      <c r="C20" s="8">
        <f>IF(8&gt;Reglages!$G$19,"",$B$5*Reglages!$H$19^7/SUMPRODUCT(Reglages!$H$19^(ROW(INDIRECT("1:"&amp;Reglages!$G$19))-1)))</f>
        <v/>
      </c>
      <c r="D20" s="39" t="n"/>
      <c r="E20" s="63" t="n"/>
      <c r="F20" s="58" t="n"/>
      <c r="G20" s="10">
        <f>IF(OR(D20&lt;&gt;1,E20="",E20=0),0,F20/E20*(1-Reglages!$B$5))</f>
        <v/>
      </c>
      <c r="H20" s="8">
        <f>SUM($F$13:F20)</f>
        <v/>
      </c>
      <c r="I20" s="10">
        <f>SUM($G$13:G20)</f>
        <v/>
      </c>
      <c r="J20" s="16">
        <f>IF(I20=0,"",H20/I20)</f>
        <v/>
      </c>
      <c r="K20" s="17">
        <f>IF(I20=0,"",J20*(1+$B$8)/(1-Reglages!$B$5))</f>
        <v/>
      </c>
      <c r="L20" s="8">
        <f>I20*$B$9</f>
        <v/>
      </c>
      <c r="M20" s="13">
        <f>IF(I20=0,"",L20-H20)</f>
        <v/>
      </c>
      <c r="N20" s="12">
        <f>IF(OR(I20=0,B20=""),"",K20/B20-1)</f>
        <v/>
      </c>
    </row>
    <row r="21">
      <c r="A21" s="57" t="n">
        <v>9</v>
      </c>
      <c r="B21" s="16">
        <f>IF(9&gt;Reglages!$G$19,"",$B$4*(1-Reglages!$I$19*8))</f>
        <v/>
      </c>
      <c r="C21" s="8">
        <f>IF(9&gt;Reglages!$G$19,"",$B$5*Reglages!$H$19^8/SUMPRODUCT(Reglages!$H$19^(ROW(INDIRECT("1:"&amp;Reglages!$G$19))-1)))</f>
        <v/>
      </c>
      <c r="D21" s="39" t="n"/>
      <c r="E21" s="63" t="n"/>
      <c r="F21" s="58" t="n"/>
      <c r="G21" s="10">
        <f>IF(OR(D21&lt;&gt;1,E21="",E21=0),0,F21/E21*(1-Reglages!$B$5))</f>
        <v/>
      </c>
      <c r="H21" s="8">
        <f>SUM($F$13:F21)</f>
        <v/>
      </c>
      <c r="I21" s="10">
        <f>SUM($G$13:G21)</f>
        <v/>
      </c>
      <c r="J21" s="16">
        <f>IF(I21=0,"",H21/I21)</f>
        <v/>
      </c>
      <c r="K21" s="17">
        <f>IF(I21=0,"",J21*(1+$B$8)/(1-Reglages!$B$5))</f>
        <v/>
      </c>
      <c r="L21" s="8">
        <f>I21*$B$9</f>
        <v/>
      </c>
      <c r="M21" s="13">
        <f>IF(I21=0,"",L21-H21)</f>
        <v/>
      </c>
      <c r="N21" s="12">
        <f>IF(OR(I21=0,B21=""),"",K21/B21-1)</f>
        <v/>
      </c>
    </row>
    <row r="22">
      <c r="A22" s="57" t="n">
        <v>10</v>
      </c>
      <c r="B22" s="16">
        <f>IF(10&gt;Reglages!$G$19,"",$B$4*(1-Reglages!$I$19*9))</f>
        <v/>
      </c>
      <c r="C22" s="8">
        <f>IF(10&gt;Reglages!$G$19,"",$B$5*Reglages!$H$19^9/SUMPRODUCT(Reglages!$H$19^(ROW(INDIRECT("1:"&amp;Reglages!$G$19))-1)))</f>
        <v/>
      </c>
      <c r="D22" s="39" t="n"/>
      <c r="E22" s="63" t="n"/>
      <c r="F22" s="58" t="n"/>
      <c r="G22" s="10">
        <f>IF(OR(D22&lt;&gt;1,E22="",E22=0),0,F22/E22*(1-Reglages!$B$5))</f>
        <v/>
      </c>
      <c r="H22" s="8">
        <f>SUM($F$13:F22)</f>
        <v/>
      </c>
      <c r="I22" s="10">
        <f>SUM($G$13:G22)</f>
        <v/>
      </c>
      <c r="J22" s="16">
        <f>IF(I22=0,"",H22/I22)</f>
        <v/>
      </c>
      <c r="K22" s="17">
        <f>IF(I22=0,"",J22*(1+$B$8)/(1-Reglages!$B$5))</f>
        <v/>
      </c>
      <c r="L22" s="8">
        <f>I22*$B$9</f>
        <v/>
      </c>
      <c r="M22" s="13">
        <f>IF(I22=0,"",L22-H22)</f>
        <v/>
      </c>
      <c r="N22" s="12">
        <f>IF(OR(I22=0,B22=""),"",K22/B22-1)</f>
        <v/>
      </c>
    </row>
    <row r="23">
      <c r="A23" s="57" t="n">
        <v>11</v>
      </c>
      <c r="B23" s="16">
        <f>IF(11&gt;Reglages!$G$19,"",$B$4*(1-Reglages!$I$19*10))</f>
        <v/>
      </c>
      <c r="C23" s="8">
        <f>IF(11&gt;Reglages!$G$19,"",$B$5*Reglages!$H$19^10/SUMPRODUCT(Reglages!$H$19^(ROW(INDIRECT("1:"&amp;Reglages!$G$19))-1)))</f>
        <v/>
      </c>
      <c r="D23" s="39" t="n"/>
      <c r="E23" s="63" t="n"/>
      <c r="F23" s="58" t="n"/>
      <c r="G23" s="10">
        <f>IF(OR(D23&lt;&gt;1,E23="",E23=0),0,F23/E23*(1-Reglages!$B$5))</f>
        <v/>
      </c>
      <c r="H23" s="8">
        <f>SUM($F$13:F23)</f>
        <v/>
      </c>
      <c r="I23" s="10">
        <f>SUM($G$13:G23)</f>
        <v/>
      </c>
      <c r="J23" s="16">
        <f>IF(I23=0,"",H23/I23)</f>
        <v/>
      </c>
      <c r="K23" s="17">
        <f>IF(I23=0,"",J23*(1+$B$8)/(1-Reglages!$B$5))</f>
        <v/>
      </c>
      <c r="L23" s="8">
        <f>I23*$B$9</f>
        <v/>
      </c>
      <c r="M23" s="13">
        <f>IF(I23=0,"",L23-H23)</f>
        <v/>
      </c>
      <c r="N23" s="12">
        <f>IF(OR(I23=0,B23=""),"",K23/B23-1)</f>
        <v/>
      </c>
    </row>
    <row r="24">
      <c r="A24" s="57" t="n">
        <v>12</v>
      </c>
      <c r="B24" s="16">
        <f>IF(12&gt;Reglages!$G$19,"",$B$4*(1-Reglages!$I$19*11))</f>
        <v/>
      </c>
      <c r="C24" s="8">
        <f>IF(12&gt;Reglages!$G$19,"",$B$5*Reglages!$H$19^11/SUMPRODUCT(Reglages!$H$19^(ROW(INDIRECT("1:"&amp;Reglages!$G$19))-1)))</f>
        <v/>
      </c>
      <c r="D24" s="39" t="n"/>
      <c r="E24" s="63" t="n"/>
      <c r="F24" s="58" t="n"/>
      <c r="G24" s="10">
        <f>IF(OR(D24&lt;&gt;1,E24="",E24=0),0,F24/E24*(1-Reglages!$B$5))</f>
        <v/>
      </c>
      <c r="H24" s="8">
        <f>SUM($F$13:F24)</f>
        <v/>
      </c>
      <c r="I24" s="10">
        <f>SUM($G$13:G24)</f>
        <v/>
      </c>
      <c r="J24" s="16">
        <f>IF(I24=0,"",H24/I24)</f>
        <v/>
      </c>
      <c r="K24" s="17">
        <f>IF(I24=0,"",J24*(1+$B$8)/(1-Reglages!$B$5))</f>
        <v/>
      </c>
      <c r="L24" s="8">
        <f>I24*$B$9</f>
        <v/>
      </c>
      <c r="M24" s="13">
        <f>IF(I24=0,"",L24-H24)</f>
        <v/>
      </c>
      <c r="N24" s="12">
        <f>IF(OR(I24=0,B24=""),"",K24/B24-1)</f>
        <v/>
      </c>
    </row>
    <row r="25">
      <c r="A25" s="57" t="n">
        <v>13</v>
      </c>
      <c r="B25" s="16">
        <f>IF(13&gt;Reglages!$G$19,"",$B$4*(1-Reglages!$I$19*12))</f>
        <v/>
      </c>
      <c r="C25" s="8">
        <f>IF(13&gt;Reglages!$G$19,"",$B$5*Reglages!$H$19^12/SUMPRODUCT(Reglages!$H$19^(ROW(INDIRECT("1:"&amp;Reglages!$G$19))-1)))</f>
        <v/>
      </c>
      <c r="D25" s="39" t="n"/>
      <c r="E25" s="63" t="n"/>
      <c r="F25" s="58" t="n"/>
      <c r="G25" s="10">
        <f>IF(OR(D25&lt;&gt;1,E25="",E25=0),0,F25/E25*(1-Reglages!$B$5))</f>
        <v/>
      </c>
      <c r="H25" s="8">
        <f>SUM($F$13:F25)</f>
        <v/>
      </c>
      <c r="I25" s="10">
        <f>SUM($G$13:G25)</f>
        <v/>
      </c>
      <c r="J25" s="16">
        <f>IF(I25=0,"",H25/I25)</f>
        <v/>
      </c>
      <c r="K25" s="17">
        <f>IF(I25=0,"",J25*(1+$B$8)/(1-Reglages!$B$5))</f>
        <v/>
      </c>
      <c r="L25" s="8">
        <f>I25*$B$9</f>
        <v/>
      </c>
      <c r="M25" s="13">
        <f>IF(I25=0,"",L25-H25)</f>
        <v/>
      </c>
      <c r="N25" s="12">
        <f>IF(OR(I25=0,B25=""),"",K25/B25-1)</f>
        <v/>
      </c>
    </row>
    <row r="26">
      <c r="A26" s="57" t="n">
        <v>14</v>
      </c>
      <c r="B26" s="16">
        <f>IF(14&gt;Reglages!$G$19,"",$B$4*(1-Reglages!$I$19*13))</f>
        <v/>
      </c>
      <c r="C26" s="8">
        <f>IF(14&gt;Reglages!$G$19,"",$B$5*Reglages!$H$19^13/SUMPRODUCT(Reglages!$H$19^(ROW(INDIRECT("1:"&amp;Reglages!$G$19))-1)))</f>
        <v/>
      </c>
      <c r="D26" s="39" t="n"/>
      <c r="E26" s="63" t="n"/>
      <c r="F26" s="58" t="n"/>
      <c r="G26" s="10">
        <f>IF(OR(D26&lt;&gt;1,E26="",E26=0),0,F26/E26*(1-Reglages!$B$5))</f>
        <v/>
      </c>
      <c r="H26" s="8">
        <f>SUM($F$13:F26)</f>
        <v/>
      </c>
      <c r="I26" s="10">
        <f>SUM($G$13:G26)</f>
        <v/>
      </c>
      <c r="J26" s="16">
        <f>IF(I26=0,"",H26/I26)</f>
        <v/>
      </c>
      <c r="K26" s="17">
        <f>IF(I26=0,"",J26*(1+$B$8)/(1-Reglages!$B$5))</f>
        <v/>
      </c>
      <c r="L26" s="8">
        <f>I26*$B$9</f>
        <v/>
      </c>
      <c r="M26" s="13">
        <f>IF(I26=0,"",L26-H26)</f>
        <v/>
      </c>
      <c r="N26" s="12">
        <f>IF(OR(I26=0,B26=""),"",K26/B26-1)</f>
        <v/>
      </c>
    </row>
    <row r="27">
      <c r="A27" s="6" t="inlineStr">
        <is>
          <t>TOTAL</t>
        </is>
      </c>
      <c r="B27" s="22" t="n"/>
      <c r="C27" s="23">
        <f>SUM(C13:C26)</f>
        <v/>
      </c>
      <c r="D27" s="22" t="n"/>
      <c r="E27" s="22" t="n"/>
      <c r="F27" s="23">
        <f>SUM(F13:F26)</f>
        <v/>
      </c>
      <c r="G27" s="59">
        <f>SUM(G13:G26)</f>
        <v/>
      </c>
      <c r="H27" s="22" t="n"/>
      <c r="I27" s="22" t="n"/>
      <c r="J27" s="64">
        <f>IF(G27=0,"",F27/G27)</f>
        <v/>
      </c>
      <c r="K27" s="64">
        <f>IF(G27=0,"",J27*(1+$B$8)/(1-Reglages!$B$5))</f>
        <v/>
      </c>
      <c r="L27" s="23">
        <f>G27*$B$9</f>
        <v/>
      </c>
      <c r="M27" s="25">
        <f>IF(G27=0,"",L27-F27)</f>
        <v/>
      </c>
      <c r="N27" s="60">
        <f>IF(OR(G27=0,$B$9=0),"",K27/$B$9-1)</f>
        <v/>
      </c>
    </row>
    <row r="29">
      <c r="A29" s="5" t="inlineStr">
        <is>
          <t>Si vous revendez tout maintenant au prix de revente</t>
        </is>
      </c>
      <c r="E29" s="61">
        <f>IF(G27=0,"",F27*$B$8)</f>
        <v/>
      </c>
    </row>
    <row r="30">
      <c r="A30" s="5" t="inlineStr">
        <is>
          <t>Etat de la descente</t>
        </is>
      </c>
      <c r="E30" s="7">
        <f>IF(G27=0,"pas commencee",IF($B$9&lt;=$E$6,"ABANDON : sous le seuil",IF(AND($E$5&lt;&gt;"",$E$5&gt;Reglages!$B$8),"BLOQUEE : trop longue",IF($B$9&gt;=K27,"REVENDRE MAINTENANT",IF(COUNT(D13:D26)-COUNTIF(D13:D26,1)=0,"echelle epuisee","en cours"))))</f>
        <v/>
      </c>
    </row>
  </sheetData>
  <conditionalFormatting sqref="E30">
    <cfRule type="expression" priority="1" dxfId="0">
      <formula>OR(E30="ABANDON : sous le seuil",E30="BLOQUEE : trop longue")</formula>
    </cfRule>
    <cfRule type="expression" priority="2" dxfId="1">
      <formula>E30="REVENDRE MAINTENANT"</formula>
    </cfRule>
  </conditionalFormatting>
  <conditionalFormatting sqref="M13:M27">
    <cfRule type="cellIs" priority="3" operator="lessThan" dxfId="3">
      <formula>0</formula>
    </cfRule>
  </conditionalFormatting>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30"/>
  <sheetViews>
    <sheetView showGridLines="0" workbookViewId="0">
      <pane ySplit="12" topLeftCell="A13" activePane="bottomLeft" state="frozen"/>
      <selection pane="bottomLeft" activeCell="A1" sqref="A1"/>
    </sheetView>
  </sheetViews>
  <sheetFormatPr baseColWidth="8" defaultRowHeight="15"/>
  <cols>
    <col width="7" customWidth="1" min="1" max="1"/>
    <col width="13" customWidth="1" min="2" max="2"/>
    <col width="12" customWidth="1" min="3" max="3"/>
    <col width="9" customWidth="1" min="4" max="4"/>
    <col width="14" customWidth="1" min="5" max="5"/>
    <col width="15" customWidth="1" min="6" max="6"/>
    <col width="12" customWidth="1" min="7" max="7"/>
    <col width="12" customWidth="1" min="8" max="8"/>
    <col width="12" customWidth="1" min="9" max="9"/>
    <col width="14" customWidth="1" min="10" max="10"/>
    <col width="14" customWidth="1" min="11" max="11"/>
    <col width="13" customWidth="1" min="12" max="12"/>
    <col width="12" customWidth="1" min="13" max="13"/>
    <col width="14" customWidth="1" min="14" max="14"/>
  </cols>
  <sheetData>
    <row r="1">
      <c r="A1" s="1" t="inlineStr">
        <is>
          <t>Descente UNI</t>
        </is>
      </c>
    </row>
    <row r="2">
      <c r="A2" s="2" t="inlineStr">
        <is>
          <t>Colonnes jaunes : a remplir quand l'achat est passe. Le reste est calcule.</t>
        </is>
      </c>
    </row>
    <row r="4">
      <c r="A4" s="28" t="inlineStr">
        <is>
          <t>Prix de reference</t>
        </is>
      </c>
      <c r="B4" s="68">
        <f>Reglages!B20</f>
        <v/>
      </c>
      <c r="D4" s="28" t="inlineStr">
        <is>
          <t>Date du premier achat</t>
        </is>
      </c>
      <c r="E4" s="52" t="n"/>
    </row>
    <row r="5">
      <c r="A5" s="28" t="inlineStr">
        <is>
          <t>Budget alloue</t>
        </is>
      </c>
      <c r="B5" s="53">
        <f>Reglages!E20</f>
        <v/>
      </c>
      <c r="D5" s="28" t="inlineStr">
        <is>
          <t>Jours ecoules</t>
        </is>
      </c>
      <c r="E5" s="54">
        <f>IF(E4="","",TODAY()-E4)</f>
        <v/>
      </c>
    </row>
    <row r="6">
      <c r="A6" s="28" t="inlineStr">
        <is>
          <t>Profondeur de l'echelle</t>
        </is>
      </c>
      <c r="B6" s="55">
        <f>Reglages!F20</f>
        <v/>
      </c>
      <c r="D6" s="28" t="inlineStr">
        <is>
          <t>Seuil d'abandon</t>
        </is>
      </c>
      <c r="E6" s="68">
        <f>B7*(1-0.15)</f>
        <v/>
      </c>
      <c r="F6" s="30" t="inlineStr">
        <is>
          <t>15 % sous le dernier palier. En dessous, on n'ajoute plus rien.</t>
        </is>
      </c>
    </row>
    <row r="7">
      <c r="A7" s="28" t="inlineStr">
        <is>
          <t>Prix du dernier palier</t>
        </is>
      </c>
      <c r="B7" s="68">
        <f>Reglages!J20</f>
        <v/>
      </c>
    </row>
    <row r="8">
      <c r="A8" s="28" t="inlineStr">
        <is>
          <t>Objectif net a la revente</t>
        </is>
      </c>
      <c r="B8" s="56">
        <f>Reglages!B6</f>
        <v/>
      </c>
    </row>
    <row r="9">
      <c r="A9" s="28" t="inlineStr">
        <is>
          <t>Prix actuel du marche</t>
        </is>
      </c>
      <c r="B9" s="49" t="n">
        <v>6.936</v>
      </c>
    </row>
    <row r="12" ht="34" customHeight="1">
      <c r="A12" s="6" t="inlineStr">
        <is>
          <t>Palier</t>
        </is>
      </c>
      <c r="B12" s="6" t="inlineStr">
        <is>
          <t>Prix cible</t>
        </is>
      </c>
      <c r="C12" s="6" t="inlineStr">
        <is>
          <t>Mise prevue
(EUR)</t>
        </is>
      </c>
      <c r="D12" s="6" t="inlineStr">
        <is>
          <t>Fait ?
(1 = oui)</t>
        </is>
      </c>
      <c r="E12" s="6" t="inlineStr">
        <is>
          <t>Prix reellement
paye</t>
        </is>
      </c>
      <c r="F12" s="6" t="inlineStr">
        <is>
          <t>Montant reellement
investi (EUR)</t>
        </is>
      </c>
      <c r="G12" s="6" t="inlineStr">
        <is>
          <t>Unites
obtenues</t>
        </is>
      </c>
      <c r="H12" s="6" t="inlineStr">
        <is>
          <t>Cumul
investi</t>
        </is>
      </c>
      <c r="I12" s="6" t="inlineStr">
        <is>
          <t>Cumul
unites</t>
        </is>
      </c>
      <c r="J12" s="6" t="inlineStr">
        <is>
          <t>Prix de revient
moyen</t>
        </is>
      </c>
      <c r="K12" s="6" t="inlineStr">
        <is>
          <t>Prix de revente
(+2 % net)</t>
        </is>
      </c>
      <c r="L12" s="6" t="inlineStr">
        <is>
          <t>Valeur au
prix actuel</t>
        </is>
      </c>
      <c r="M12" s="6" t="inlineStr">
        <is>
          <t>P&amp;L latent</t>
        </is>
      </c>
      <c r="N12" s="6" t="inlineStr">
        <is>
          <t>Rebond requis
depuis ce palier</t>
        </is>
      </c>
    </row>
    <row r="13">
      <c r="A13" s="57" t="n">
        <v>1</v>
      </c>
      <c r="B13" s="20">
        <f>IF(1&gt;Reglages!$G$20,"",$B$4*(1-Reglages!$I$20*0))</f>
        <v/>
      </c>
      <c r="C13" s="8">
        <f>IF(1&gt;Reglages!$G$20,"",$B$5*Reglages!$H$20^0/SUMPRODUCT(Reglages!$H$20^(ROW(INDIRECT("1:"&amp;Reglages!$G$20))-1)))</f>
        <v/>
      </c>
      <c r="D13" s="39" t="n"/>
      <c r="E13" s="69" t="n"/>
      <c r="F13" s="58" t="n"/>
      <c r="G13" s="10">
        <f>IF(OR(D13&lt;&gt;1,E13="",E13=0),0,F13/E13*(1-Reglages!$B$5))</f>
        <v/>
      </c>
      <c r="H13" s="8">
        <f>SUM($F$13:F13)</f>
        <v/>
      </c>
      <c r="I13" s="10">
        <f>SUM($G$13:G13)</f>
        <v/>
      </c>
      <c r="J13" s="20">
        <f>IF(I13=0,"",H13/I13)</f>
        <v/>
      </c>
      <c r="K13" s="21">
        <f>IF(I13=0,"",J13*(1+$B$8)/(1-Reglages!$B$5))</f>
        <v/>
      </c>
      <c r="L13" s="8">
        <f>I13*$B$9</f>
        <v/>
      </c>
      <c r="M13" s="13">
        <f>IF(I13=0,"",L13-H13)</f>
        <v/>
      </c>
      <c r="N13" s="12">
        <f>IF(OR(I13=0,B13=""),"",K13/B13-1)</f>
        <v/>
      </c>
    </row>
    <row r="14">
      <c r="A14" s="57" t="n">
        <v>2</v>
      </c>
      <c r="B14" s="20">
        <f>IF(2&gt;Reglages!$G$20,"",$B$4*(1-Reglages!$I$20*1))</f>
        <v/>
      </c>
      <c r="C14" s="8">
        <f>IF(2&gt;Reglages!$G$20,"",$B$5*Reglages!$H$20^1/SUMPRODUCT(Reglages!$H$20^(ROW(INDIRECT("1:"&amp;Reglages!$G$20))-1)))</f>
        <v/>
      </c>
      <c r="D14" s="39" t="n"/>
      <c r="E14" s="69" t="n"/>
      <c r="F14" s="58" t="n"/>
      <c r="G14" s="10">
        <f>IF(OR(D14&lt;&gt;1,E14="",E14=0),0,F14/E14*(1-Reglages!$B$5))</f>
        <v/>
      </c>
      <c r="H14" s="8">
        <f>SUM($F$13:F14)</f>
        <v/>
      </c>
      <c r="I14" s="10">
        <f>SUM($G$13:G14)</f>
        <v/>
      </c>
      <c r="J14" s="20">
        <f>IF(I14=0,"",H14/I14)</f>
        <v/>
      </c>
      <c r="K14" s="21">
        <f>IF(I14=0,"",J14*(1+$B$8)/(1-Reglages!$B$5))</f>
        <v/>
      </c>
      <c r="L14" s="8">
        <f>I14*$B$9</f>
        <v/>
      </c>
      <c r="M14" s="13">
        <f>IF(I14=0,"",L14-H14)</f>
        <v/>
      </c>
      <c r="N14" s="12">
        <f>IF(OR(I14=0,B14=""),"",K14/B14-1)</f>
        <v/>
      </c>
    </row>
    <row r="15">
      <c r="A15" s="57" t="n">
        <v>3</v>
      </c>
      <c r="B15" s="20">
        <f>IF(3&gt;Reglages!$G$20,"",$B$4*(1-Reglages!$I$20*2))</f>
        <v/>
      </c>
      <c r="C15" s="8">
        <f>IF(3&gt;Reglages!$G$20,"",$B$5*Reglages!$H$20^2/SUMPRODUCT(Reglages!$H$20^(ROW(INDIRECT("1:"&amp;Reglages!$G$20))-1)))</f>
        <v/>
      </c>
      <c r="D15" s="39" t="n"/>
      <c r="E15" s="69" t="n"/>
      <c r="F15" s="58" t="n"/>
      <c r="G15" s="10">
        <f>IF(OR(D15&lt;&gt;1,E15="",E15=0),0,F15/E15*(1-Reglages!$B$5))</f>
        <v/>
      </c>
      <c r="H15" s="8">
        <f>SUM($F$13:F15)</f>
        <v/>
      </c>
      <c r="I15" s="10">
        <f>SUM($G$13:G15)</f>
        <v/>
      </c>
      <c r="J15" s="20">
        <f>IF(I15=0,"",H15/I15)</f>
        <v/>
      </c>
      <c r="K15" s="21">
        <f>IF(I15=0,"",J15*(1+$B$8)/(1-Reglages!$B$5))</f>
        <v/>
      </c>
      <c r="L15" s="8">
        <f>I15*$B$9</f>
        <v/>
      </c>
      <c r="M15" s="13">
        <f>IF(I15=0,"",L15-H15)</f>
        <v/>
      </c>
      <c r="N15" s="12">
        <f>IF(OR(I15=0,B15=""),"",K15/B15-1)</f>
        <v/>
      </c>
    </row>
    <row r="16">
      <c r="A16" s="57" t="n">
        <v>4</v>
      </c>
      <c r="B16" s="20">
        <f>IF(4&gt;Reglages!$G$20,"",$B$4*(1-Reglages!$I$20*3))</f>
        <v/>
      </c>
      <c r="C16" s="8">
        <f>IF(4&gt;Reglages!$G$20,"",$B$5*Reglages!$H$20^3/SUMPRODUCT(Reglages!$H$20^(ROW(INDIRECT("1:"&amp;Reglages!$G$20))-1)))</f>
        <v/>
      </c>
      <c r="D16" s="39" t="n"/>
      <c r="E16" s="69" t="n"/>
      <c r="F16" s="58" t="n"/>
      <c r="G16" s="10">
        <f>IF(OR(D16&lt;&gt;1,E16="",E16=0),0,F16/E16*(1-Reglages!$B$5))</f>
        <v/>
      </c>
      <c r="H16" s="8">
        <f>SUM($F$13:F16)</f>
        <v/>
      </c>
      <c r="I16" s="10">
        <f>SUM($G$13:G16)</f>
        <v/>
      </c>
      <c r="J16" s="20">
        <f>IF(I16=0,"",H16/I16)</f>
        <v/>
      </c>
      <c r="K16" s="21">
        <f>IF(I16=0,"",J16*(1+$B$8)/(1-Reglages!$B$5))</f>
        <v/>
      </c>
      <c r="L16" s="8">
        <f>I16*$B$9</f>
        <v/>
      </c>
      <c r="M16" s="13">
        <f>IF(I16=0,"",L16-H16)</f>
        <v/>
      </c>
      <c r="N16" s="12">
        <f>IF(OR(I16=0,B16=""),"",K16/B16-1)</f>
        <v/>
      </c>
    </row>
    <row r="17">
      <c r="A17" s="57" t="n">
        <v>5</v>
      </c>
      <c r="B17" s="20">
        <f>IF(5&gt;Reglages!$G$20,"",$B$4*(1-Reglages!$I$20*4))</f>
        <v/>
      </c>
      <c r="C17" s="8">
        <f>IF(5&gt;Reglages!$G$20,"",$B$5*Reglages!$H$20^4/SUMPRODUCT(Reglages!$H$20^(ROW(INDIRECT("1:"&amp;Reglages!$G$20))-1)))</f>
        <v/>
      </c>
      <c r="D17" s="39" t="n"/>
      <c r="E17" s="69" t="n"/>
      <c r="F17" s="58" t="n"/>
      <c r="G17" s="10">
        <f>IF(OR(D17&lt;&gt;1,E17="",E17=0),0,F17/E17*(1-Reglages!$B$5))</f>
        <v/>
      </c>
      <c r="H17" s="8">
        <f>SUM($F$13:F17)</f>
        <v/>
      </c>
      <c r="I17" s="10">
        <f>SUM($G$13:G17)</f>
        <v/>
      </c>
      <c r="J17" s="20">
        <f>IF(I17=0,"",H17/I17)</f>
        <v/>
      </c>
      <c r="K17" s="21">
        <f>IF(I17=0,"",J17*(1+$B$8)/(1-Reglages!$B$5))</f>
        <v/>
      </c>
      <c r="L17" s="8">
        <f>I17*$B$9</f>
        <v/>
      </c>
      <c r="M17" s="13">
        <f>IF(I17=0,"",L17-H17)</f>
        <v/>
      </c>
      <c r="N17" s="12">
        <f>IF(OR(I17=0,B17=""),"",K17/B17-1)</f>
        <v/>
      </c>
    </row>
    <row r="18">
      <c r="A18" s="57" t="n">
        <v>6</v>
      </c>
      <c r="B18" s="20">
        <f>IF(6&gt;Reglages!$G$20,"",$B$4*(1-Reglages!$I$20*5))</f>
        <v/>
      </c>
      <c r="C18" s="8">
        <f>IF(6&gt;Reglages!$G$20,"",$B$5*Reglages!$H$20^5/SUMPRODUCT(Reglages!$H$20^(ROW(INDIRECT("1:"&amp;Reglages!$G$20))-1)))</f>
        <v/>
      </c>
      <c r="D18" s="39" t="n"/>
      <c r="E18" s="69" t="n"/>
      <c r="F18" s="58" t="n"/>
      <c r="G18" s="10">
        <f>IF(OR(D18&lt;&gt;1,E18="",E18=0),0,F18/E18*(1-Reglages!$B$5))</f>
        <v/>
      </c>
      <c r="H18" s="8">
        <f>SUM($F$13:F18)</f>
        <v/>
      </c>
      <c r="I18" s="10">
        <f>SUM($G$13:G18)</f>
        <v/>
      </c>
      <c r="J18" s="20">
        <f>IF(I18=0,"",H18/I18)</f>
        <v/>
      </c>
      <c r="K18" s="21">
        <f>IF(I18=0,"",J18*(1+$B$8)/(1-Reglages!$B$5))</f>
        <v/>
      </c>
      <c r="L18" s="8">
        <f>I18*$B$9</f>
        <v/>
      </c>
      <c r="M18" s="13">
        <f>IF(I18=0,"",L18-H18)</f>
        <v/>
      </c>
      <c r="N18" s="12">
        <f>IF(OR(I18=0,B18=""),"",K18/B18-1)</f>
        <v/>
      </c>
    </row>
    <row r="19">
      <c r="A19" s="57" t="n">
        <v>7</v>
      </c>
      <c r="B19" s="20">
        <f>IF(7&gt;Reglages!$G$20,"",$B$4*(1-Reglages!$I$20*6))</f>
        <v/>
      </c>
      <c r="C19" s="8">
        <f>IF(7&gt;Reglages!$G$20,"",$B$5*Reglages!$H$20^6/SUMPRODUCT(Reglages!$H$20^(ROW(INDIRECT("1:"&amp;Reglages!$G$20))-1)))</f>
        <v/>
      </c>
      <c r="D19" s="39" t="n"/>
      <c r="E19" s="69" t="n"/>
      <c r="F19" s="58" t="n"/>
      <c r="G19" s="10">
        <f>IF(OR(D19&lt;&gt;1,E19="",E19=0),0,F19/E19*(1-Reglages!$B$5))</f>
        <v/>
      </c>
      <c r="H19" s="8">
        <f>SUM($F$13:F19)</f>
        <v/>
      </c>
      <c r="I19" s="10">
        <f>SUM($G$13:G19)</f>
        <v/>
      </c>
      <c r="J19" s="20">
        <f>IF(I19=0,"",H19/I19)</f>
        <v/>
      </c>
      <c r="K19" s="21">
        <f>IF(I19=0,"",J19*(1+$B$8)/(1-Reglages!$B$5))</f>
        <v/>
      </c>
      <c r="L19" s="8">
        <f>I19*$B$9</f>
        <v/>
      </c>
      <c r="M19" s="13">
        <f>IF(I19=0,"",L19-H19)</f>
        <v/>
      </c>
      <c r="N19" s="12">
        <f>IF(OR(I19=0,B19=""),"",K19/B19-1)</f>
        <v/>
      </c>
    </row>
    <row r="20">
      <c r="A20" s="57" t="n">
        <v>8</v>
      </c>
      <c r="B20" s="20">
        <f>IF(8&gt;Reglages!$G$20,"",$B$4*(1-Reglages!$I$20*7))</f>
        <v/>
      </c>
      <c r="C20" s="8">
        <f>IF(8&gt;Reglages!$G$20,"",$B$5*Reglages!$H$20^7/SUMPRODUCT(Reglages!$H$20^(ROW(INDIRECT("1:"&amp;Reglages!$G$20))-1)))</f>
        <v/>
      </c>
      <c r="D20" s="39" t="n"/>
      <c r="E20" s="69" t="n"/>
      <c r="F20" s="58" t="n"/>
      <c r="G20" s="10">
        <f>IF(OR(D20&lt;&gt;1,E20="",E20=0),0,F20/E20*(1-Reglages!$B$5))</f>
        <v/>
      </c>
      <c r="H20" s="8">
        <f>SUM($F$13:F20)</f>
        <v/>
      </c>
      <c r="I20" s="10">
        <f>SUM($G$13:G20)</f>
        <v/>
      </c>
      <c r="J20" s="20">
        <f>IF(I20=0,"",H20/I20)</f>
        <v/>
      </c>
      <c r="K20" s="21">
        <f>IF(I20=0,"",J20*(1+$B$8)/(1-Reglages!$B$5))</f>
        <v/>
      </c>
      <c r="L20" s="8">
        <f>I20*$B$9</f>
        <v/>
      </c>
      <c r="M20" s="13">
        <f>IF(I20=0,"",L20-H20)</f>
        <v/>
      </c>
      <c r="N20" s="12">
        <f>IF(OR(I20=0,B20=""),"",K20/B20-1)</f>
        <v/>
      </c>
    </row>
    <row r="21">
      <c r="A21" s="57" t="n">
        <v>9</v>
      </c>
      <c r="B21" s="20">
        <f>IF(9&gt;Reglages!$G$20,"",$B$4*(1-Reglages!$I$20*8))</f>
        <v/>
      </c>
      <c r="C21" s="8">
        <f>IF(9&gt;Reglages!$G$20,"",$B$5*Reglages!$H$20^8/SUMPRODUCT(Reglages!$H$20^(ROW(INDIRECT("1:"&amp;Reglages!$G$20))-1)))</f>
        <v/>
      </c>
      <c r="D21" s="39" t="n"/>
      <c r="E21" s="69" t="n"/>
      <c r="F21" s="58" t="n"/>
      <c r="G21" s="10">
        <f>IF(OR(D21&lt;&gt;1,E21="",E21=0),0,F21/E21*(1-Reglages!$B$5))</f>
        <v/>
      </c>
      <c r="H21" s="8">
        <f>SUM($F$13:F21)</f>
        <v/>
      </c>
      <c r="I21" s="10">
        <f>SUM($G$13:G21)</f>
        <v/>
      </c>
      <c r="J21" s="20">
        <f>IF(I21=0,"",H21/I21)</f>
        <v/>
      </c>
      <c r="K21" s="21">
        <f>IF(I21=0,"",J21*(1+$B$8)/(1-Reglages!$B$5))</f>
        <v/>
      </c>
      <c r="L21" s="8">
        <f>I21*$B$9</f>
        <v/>
      </c>
      <c r="M21" s="13">
        <f>IF(I21=0,"",L21-H21)</f>
        <v/>
      </c>
      <c r="N21" s="12">
        <f>IF(OR(I21=0,B21=""),"",K21/B21-1)</f>
        <v/>
      </c>
    </row>
    <row r="22">
      <c r="A22" s="57" t="n">
        <v>10</v>
      </c>
      <c r="B22" s="20">
        <f>IF(10&gt;Reglages!$G$20,"",$B$4*(1-Reglages!$I$20*9))</f>
        <v/>
      </c>
      <c r="C22" s="8">
        <f>IF(10&gt;Reglages!$G$20,"",$B$5*Reglages!$H$20^9/SUMPRODUCT(Reglages!$H$20^(ROW(INDIRECT("1:"&amp;Reglages!$G$20))-1)))</f>
        <v/>
      </c>
      <c r="D22" s="39" t="n"/>
      <c r="E22" s="69" t="n"/>
      <c r="F22" s="58" t="n"/>
      <c r="G22" s="10">
        <f>IF(OR(D22&lt;&gt;1,E22="",E22=0),0,F22/E22*(1-Reglages!$B$5))</f>
        <v/>
      </c>
      <c r="H22" s="8">
        <f>SUM($F$13:F22)</f>
        <v/>
      </c>
      <c r="I22" s="10">
        <f>SUM($G$13:G22)</f>
        <v/>
      </c>
      <c r="J22" s="20">
        <f>IF(I22=0,"",H22/I22)</f>
        <v/>
      </c>
      <c r="K22" s="21">
        <f>IF(I22=0,"",J22*(1+$B$8)/(1-Reglages!$B$5))</f>
        <v/>
      </c>
      <c r="L22" s="8">
        <f>I22*$B$9</f>
        <v/>
      </c>
      <c r="M22" s="13">
        <f>IF(I22=0,"",L22-H22)</f>
        <v/>
      </c>
      <c r="N22" s="12">
        <f>IF(OR(I22=0,B22=""),"",K22/B22-1)</f>
        <v/>
      </c>
    </row>
    <row r="23">
      <c r="A23" s="57" t="n">
        <v>11</v>
      </c>
      <c r="B23" s="20">
        <f>IF(11&gt;Reglages!$G$20,"",$B$4*(1-Reglages!$I$20*10))</f>
        <v/>
      </c>
      <c r="C23" s="8">
        <f>IF(11&gt;Reglages!$G$20,"",$B$5*Reglages!$H$20^10/SUMPRODUCT(Reglages!$H$20^(ROW(INDIRECT("1:"&amp;Reglages!$G$20))-1)))</f>
        <v/>
      </c>
      <c r="D23" s="39" t="n"/>
      <c r="E23" s="69" t="n"/>
      <c r="F23" s="58" t="n"/>
      <c r="G23" s="10">
        <f>IF(OR(D23&lt;&gt;1,E23="",E23=0),0,F23/E23*(1-Reglages!$B$5))</f>
        <v/>
      </c>
      <c r="H23" s="8">
        <f>SUM($F$13:F23)</f>
        <v/>
      </c>
      <c r="I23" s="10">
        <f>SUM($G$13:G23)</f>
        <v/>
      </c>
      <c r="J23" s="20">
        <f>IF(I23=0,"",H23/I23)</f>
        <v/>
      </c>
      <c r="K23" s="21">
        <f>IF(I23=0,"",J23*(1+$B$8)/(1-Reglages!$B$5))</f>
        <v/>
      </c>
      <c r="L23" s="8">
        <f>I23*$B$9</f>
        <v/>
      </c>
      <c r="M23" s="13">
        <f>IF(I23=0,"",L23-H23)</f>
        <v/>
      </c>
      <c r="N23" s="12">
        <f>IF(OR(I23=0,B23=""),"",K23/B23-1)</f>
        <v/>
      </c>
    </row>
    <row r="24">
      <c r="A24" s="57" t="n">
        <v>12</v>
      </c>
      <c r="B24" s="20">
        <f>IF(12&gt;Reglages!$G$20,"",$B$4*(1-Reglages!$I$20*11))</f>
        <v/>
      </c>
      <c r="C24" s="8">
        <f>IF(12&gt;Reglages!$G$20,"",$B$5*Reglages!$H$20^11/SUMPRODUCT(Reglages!$H$20^(ROW(INDIRECT("1:"&amp;Reglages!$G$20))-1)))</f>
        <v/>
      </c>
      <c r="D24" s="39" t="n"/>
      <c r="E24" s="69" t="n"/>
      <c r="F24" s="58" t="n"/>
      <c r="G24" s="10">
        <f>IF(OR(D24&lt;&gt;1,E24="",E24=0),0,F24/E24*(1-Reglages!$B$5))</f>
        <v/>
      </c>
      <c r="H24" s="8">
        <f>SUM($F$13:F24)</f>
        <v/>
      </c>
      <c r="I24" s="10">
        <f>SUM($G$13:G24)</f>
        <v/>
      </c>
      <c r="J24" s="20">
        <f>IF(I24=0,"",H24/I24)</f>
        <v/>
      </c>
      <c r="K24" s="21">
        <f>IF(I24=0,"",J24*(1+$B$8)/(1-Reglages!$B$5))</f>
        <v/>
      </c>
      <c r="L24" s="8">
        <f>I24*$B$9</f>
        <v/>
      </c>
      <c r="M24" s="13">
        <f>IF(I24=0,"",L24-H24)</f>
        <v/>
      </c>
      <c r="N24" s="12">
        <f>IF(OR(I24=0,B24=""),"",K24/B24-1)</f>
        <v/>
      </c>
    </row>
    <row r="25">
      <c r="A25" s="57" t="n">
        <v>13</v>
      </c>
      <c r="B25" s="20">
        <f>IF(13&gt;Reglages!$G$20,"",$B$4*(1-Reglages!$I$20*12))</f>
        <v/>
      </c>
      <c r="C25" s="8">
        <f>IF(13&gt;Reglages!$G$20,"",$B$5*Reglages!$H$20^12/SUMPRODUCT(Reglages!$H$20^(ROW(INDIRECT("1:"&amp;Reglages!$G$20))-1)))</f>
        <v/>
      </c>
      <c r="D25" s="39" t="n"/>
      <c r="E25" s="69" t="n"/>
      <c r="F25" s="58" t="n"/>
      <c r="G25" s="10">
        <f>IF(OR(D25&lt;&gt;1,E25="",E25=0),0,F25/E25*(1-Reglages!$B$5))</f>
        <v/>
      </c>
      <c r="H25" s="8">
        <f>SUM($F$13:F25)</f>
        <v/>
      </c>
      <c r="I25" s="10">
        <f>SUM($G$13:G25)</f>
        <v/>
      </c>
      <c r="J25" s="20">
        <f>IF(I25=0,"",H25/I25)</f>
        <v/>
      </c>
      <c r="K25" s="21">
        <f>IF(I25=0,"",J25*(1+$B$8)/(1-Reglages!$B$5))</f>
        <v/>
      </c>
      <c r="L25" s="8">
        <f>I25*$B$9</f>
        <v/>
      </c>
      <c r="M25" s="13">
        <f>IF(I25=0,"",L25-H25)</f>
        <v/>
      </c>
      <c r="N25" s="12">
        <f>IF(OR(I25=0,B25=""),"",K25/B25-1)</f>
        <v/>
      </c>
    </row>
    <row r="26">
      <c r="A26" s="57" t="n">
        <v>14</v>
      </c>
      <c r="B26" s="20">
        <f>IF(14&gt;Reglages!$G$20,"",$B$4*(1-Reglages!$I$20*13))</f>
        <v/>
      </c>
      <c r="C26" s="8">
        <f>IF(14&gt;Reglages!$G$20,"",$B$5*Reglages!$H$20^13/SUMPRODUCT(Reglages!$H$20^(ROW(INDIRECT("1:"&amp;Reglages!$G$20))-1)))</f>
        <v/>
      </c>
      <c r="D26" s="39" t="n"/>
      <c r="E26" s="69" t="n"/>
      <c r="F26" s="58" t="n"/>
      <c r="G26" s="10">
        <f>IF(OR(D26&lt;&gt;1,E26="",E26=0),0,F26/E26*(1-Reglages!$B$5))</f>
        <v/>
      </c>
      <c r="H26" s="8">
        <f>SUM($F$13:F26)</f>
        <v/>
      </c>
      <c r="I26" s="10">
        <f>SUM($G$13:G26)</f>
        <v/>
      </c>
      <c r="J26" s="20">
        <f>IF(I26=0,"",H26/I26)</f>
        <v/>
      </c>
      <c r="K26" s="21">
        <f>IF(I26=0,"",J26*(1+$B$8)/(1-Reglages!$B$5))</f>
        <v/>
      </c>
      <c r="L26" s="8">
        <f>I26*$B$9</f>
        <v/>
      </c>
      <c r="M26" s="13">
        <f>IF(I26=0,"",L26-H26)</f>
        <v/>
      </c>
      <c r="N26" s="12">
        <f>IF(OR(I26=0,B26=""),"",K26/B26-1)</f>
        <v/>
      </c>
    </row>
    <row r="27">
      <c r="A27" s="6" t="inlineStr">
        <is>
          <t>TOTAL</t>
        </is>
      </c>
      <c r="B27" s="22" t="n"/>
      <c r="C27" s="23">
        <f>SUM(C13:C26)</f>
        <v/>
      </c>
      <c r="D27" s="22" t="n"/>
      <c r="E27" s="22" t="n"/>
      <c r="F27" s="23">
        <f>SUM(F13:F26)</f>
        <v/>
      </c>
      <c r="G27" s="59">
        <f>SUM(G13:G26)</f>
        <v/>
      </c>
      <c r="H27" s="22" t="n"/>
      <c r="I27" s="22" t="n"/>
      <c r="J27" s="70">
        <f>IF(G27=0,"",F27/G27)</f>
        <v/>
      </c>
      <c r="K27" s="70">
        <f>IF(G27=0,"",J27*(1+$B$8)/(1-Reglages!$B$5))</f>
        <v/>
      </c>
      <c r="L27" s="23">
        <f>G27*$B$9</f>
        <v/>
      </c>
      <c r="M27" s="25">
        <f>IF(G27=0,"",L27-F27)</f>
        <v/>
      </c>
      <c r="N27" s="60">
        <f>IF(OR(G27=0,$B$9=0),"",K27/$B$9-1)</f>
        <v/>
      </c>
    </row>
    <row r="29">
      <c r="A29" s="5" t="inlineStr">
        <is>
          <t>Si vous revendez tout maintenant au prix de revente</t>
        </is>
      </c>
      <c r="E29" s="61">
        <f>IF(G27=0,"",F27*$B$8)</f>
        <v/>
      </c>
    </row>
    <row r="30">
      <c r="A30" s="5" t="inlineStr">
        <is>
          <t>Etat de la descente</t>
        </is>
      </c>
      <c r="E30" s="7">
        <f>IF(G27=0,"pas commencee",IF($B$9&lt;=$E$6,"ABANDON : sous le seuil",IF(AND($E$5&lt;&gt;"",$E$5&gt;Reglages!$B$8),"BLOQUEE : trop longue",IF($B$9&gt;=K27,"REVENDRE MAINTENANT",IF(COUNT(D13:D26)-COUNTIF(D13:D26,1)=0,"echelle epuisee","en cours"))))</f>
        <v/>
      </c>
    </row>
  </sheetData>
  <conditionalFormatting sqref="E30">
    <cfRule type="expression" priority="1" dxfId="0">
      <formula>OR(E30="ABANDON : sous le seuil",E30="BLOQUEE : trop longue")</formula>
    </cfRule>
    <cfRule type="expression" priority="2" dxfId="1">
      <formula>E30="REVENDRE MAINTENANT"</formula>
    </cfRule>
  </conditionalFormatting>
  <conditionalFormatting sqref="M13:M27">
    <cfRule type="cellIs" priority="3" operator="lessThan" dxfId="3">
      <formula>0</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30"/>
  <sheetViews>
    <sheetView showGridLines="0" workbookViewId="0">
      <pane ySplit="12" topLeftCell="A13" activePane="bottomLeft" state="frozen"/>
      <selection pane="bottomLeft" activeCell="A1" sqref="A1"/>
    </sheetView>
  </sheetViews>
  <sheetFormatPr baseColWidth="8" defaultRowHeight="15"/>
  <cols>
    <col width="7" customWidth="1" min="1" max="1"/>
    <col width="13" customWidth="1" min="2" max="2"/>
    <col width="12" customWidth="1" min="3" max="3"/>
    <col width="9" customWidth="1" min="4" max="4"/>
    <col width="14" customWidth="1" min="5" max="5"/>
    <col width="15" customWidth="1" min="6" max="6"/>
    <col width="12" customWidth="1" min="7" max="7"/>
    <col width="12" customWidth="1" min="8" max="8"/>
    <col width="12" customWidth="1" min="9" max="9"/>
    <col width="14" customWidth="1" min="10" max="10"/>
    <col width="14" customWidth="1" min="11" max="11"/>
    <col width="13" customWidth="1" min="12" max="12"/>
    <col width="12" customWidth="1" min="13" max="13"/>
    <col width="14" customWidth="1" min="14" max="14"/>
  </cols>
  <sheetData>
    <row r="1">
      <c r="A1" s="1" t="inlineStr">
        <is>
          <t>Descente XRP</t>
        </is>
      </c>
    </row>
    <row r="2">
      <c r="A2" s="2" t="inlineStr">
        <is>
          <t>Colonnes jaunes : a remplir quand l'achat est passe. Le reste est calcule.</t>
        </is>
      </c>
    </row>
    <row r="4">
      <c r="A4" s="28" t="inlineStr">
        <is>
          <t>Prix de reference</t>
        </is>
      </c>
      <c r="B4" s="68">
        <f>Reglages!B21</f>
        <v/>
      </c>
      <c r="D4" s="28" t="inlineStr">
        <is>
          <t>Date du premier achat</t>
        </is>
      </c>
      <c r="E4" s="52" t="n"/>
    </row>
    <row r="5">
      <c r="A5" s="28" t="inlineStr">
        <is>
          <t>Budget alloue</t>
        </is>
      </c>
      <c r="B5" s="53">
        <f>Reglages!E21</f>
        <v/>
      </c>
      <c r="D5" s="28" t="inlineStr">
        <is>
          <t>Jours ecoules</t>
        </is>
      </c>
      <c r="E5" s="54">
        <f>IF(E4="","",TODAY()-E4)</f>
        <v/>
      </c>
    </row>
    <row r="6">
      <c r="A6" s="28" t="inlineStr">
        <is>
          <t>Profondeur de l'echelle</t>
        </is>
      </c>
      <c r="B6" s="55">
        <f>Reglages!F21</f>
        <v/>
      </c>
      <c r="D6" s="28" t="inlineStr">
        <is>
          <t>Seuil d'abandon</t>
        </is>
      </c>
      <c r="E6" s="68">
        <f>B7*(1-0.15)</f>
        <v/>
      </c>
      <c r="F6" s="30" t="inlineStr">
        <is>
          <t>15 % sous le dernier palier. En dessous, on n'ajoute plus rien.</t>
        </is>
      </c>
    </row>
    <row r="7">
      <c r="A7" s="28" t="inlineStr">
        <is>
          <t>Prix du dernier palier</t>
        </is>
      </c>
      <c r="B7" s="68">
        <f>Reglages!J21</f>
        <v/>
      </c>
    </row>
    <row r="8">
      <c r="A8" s="28" t="inlineStr">
        <is>
          <t>Objectif net a la revente</t>
        </is>
      </c>
      <c r="B8" s="56">
        <f>Reglages!B6</f>
        <v/>
      </c>
    </row>
    <row r="9">
      <c r="A9" s="28" t="inlineStr">
        <is>
          <t>Prix actuel du marche</t>
        </is>
      </c>
      <c r="B9" s="49" t="n">
        <v>1.4096</v>
      </c>
    </row>
    <row r="12" ht="34" customHeight="1">
      <c r="A12" s="6" t="inlineStr">
        <is>
          <t>Palier</t>
        </is>
      </c>
      <c r="B12" s="6" t="inlineStr">
        <is>
          <t>Prix cible</t>
        </is>
      </c>
      <c r="C12" s="6" t="inlineStr">
        <is>
          <t>Mise prevue
(EUR)</t>
        </is>
      </c>
      <c r="D12" s="6" t="inlineStr">
        <is>
          <t>Fait ?
(1 = oui)</t>
        </is>
      </c>
      <c r="E12" s="6" t="inlineStr">
        <is>
          <t>Prix reellement
paye</t>
        </is>
      </c>
      <c r="F12" s="6" t="inlineStr">
        <is>
          <t>Montant reellement
investi (EUR)</t>
        </is>
      </c>
      <c r="G12" s="6" t="inlineStr">
        <is>
          <t>Unites
obtenues</t>
        </is>
      </c>
      <c r="H12" s="6" t="inlineStr">
        <is>
          <t>Cumul
investi</t>
        </is>
      </c>
      <c r="I12" s="6" t="inlineStr">
        <is>
          <t>Cumul
unites</t>
        </is>
      </c>
      <c r="J12" s="6" t="inlineStr">
        <is>
          <t>Prix de revient
moyen</t>
        </is>
      </c>
      <c r="K12" s="6" t="inlineStr">
        <is>
          <t>Prix de revente
(+2 % net)</t>
        </is>
      </c>
      <c r="L12" s="6" t="inlineStr">
        <is>
          <t>Valeur au
prix actuel</t>
        </is>
      </c>
      <c r="M12" s="6" t="inlineStr">
        <is>
          <t>P&amp;L latent</t>
        </is>
      </c>
      <c r="N12" s="6" t="inlineStr">
        <is>
          <t>Rebond requis
depuis ce palier</t>
        </is>
      </c>
    </row>
    <row r="13">
      <c r="A13" s="57" t="n">
        <v>1</v>
      </c>
      <c r="B13" s="20">
        <f>IF(1&gt;Reglages!$G$21,"",$B$4*(1-Reglages!$I$21*0))</f>
        <v/>
      </c>
      <c r="C13" s="8">
        <f>IF(1&gt;Reglages!$G$21,"",$B$5*Reglages!$H$21^0/SUMPRODUCT(Reglages!$H$21^(ROW(INDIRECT("1:"&amp;Reglages!$G$21))-1)))</f>
        <v/>
      </c>
      <c r="D13" s="39" t="n"/>
      <c r="E13" s="69" t="n"/>
      <c r="F13" s="58" t="n"/>
      <c r="G13" s="10">
        <f>IF(OR(D13&lt;&gt;1,E13="",E13=0),0,F13/E13*(1-Reglages!$B$5))</f>
        <v/>
      </c>
      <c r="H13" s="8">
        <f>SUM($F$13:F13)</f>
        <v/>
      </c>
      <c r="I13" s="10">
        <f>SUM($G$13:G13)</f>
        <v/>
      </c>
      <c r="J13" s="20">
        <f>IF(I13=0,"",H13/I13)</f>
        <v/>
      </c>
      <c r="K13" s="21">
        <f>IF(I13=0,"",J13*(1+$B$8)/(1-Reglages!$B$5))</f>
        <v/>
      </c>
      <c r="L13" s="8">
        <f>I13*$B$9</f>
        <v/>
      </c>
      <c r="M13" s="13">
        <f>IF(I13=0,"",L13-H13)</f>
        <v/>
      </c>
      <c r="N13" s="12">
        <f>IF(OR(I13=0,B13=""),"",K13/B13-1)</f>
        <v/>
      </c>
    </row>
    <row r="14">
      <c r="A14" s="57" t="n">
        <v>2</v>
      </c>
      <c r="B14" s="20">
        <f>IF(2&gt;Reglages!$G$21,"",$B$4*(1-Reglages!$I$21*1))</f>
        <v/>
      </c>
      <c r="C14" s="8">
        <f>IF(2&gt;Reglages!$G$21,"",$B$5*Reglages!$H$21^1/SUMPRODUCT(Reglages!$H$21^(ROW(INDIRECT("1:"&amp;Reglages!$G$21))-1)))</f>
        <v/>
      </c>
      <c r="D14" s="39" t="n"/>
      <c r="E14" s="69" t="n"/>
      <c r="F14" s="58" t="n"/>
      <c r="G14" s="10">
        <f>IF(OR(D14&lt;&gt;1,E14="",E14=0),0,F14/E14*(1-Reglages!$B$5))</f>
        <v/>
      </c>
      <c r="H14" s="8">
        <f>SUM($F$13:F14)</f>
        <v/>
      </c>
      <c r="I14" s="10">
        <f>SUM($G$13:G14)</f>
        <v/>
      </c>
      <c r="J14" s="20">
        <f>IF(I14=0,"",H14/I14)</f>
        <v/>
      </c>
      <c r="K14" s="21">
        <f>IF(I14=0,"",J14*(1+$B$8)/(1-Reglages!$B$5))</f>
        <v/>
      </c>
      <c r="L14" s="8">
        <f>I14*$B$9</f>
        <v/>
      </c>
      <c r="M14" s="13">
        <f>IF(I14=0,"",L14-H14)</f>
        <v/>
      </c>
      <c r="N14" s="12">
        <f>IF(OR(I14=0,B14=""),"",K14/B14-1)</f>
        <v/>
      </c>
    </row>
    <row r="15">
      <c r="A15" s="57" t="n">
        <v>3</v>
      </c>
      <c r="B15" s="20">
        <f>IF(3&gt;Reglages!$G$21,"",$B$4*(1-Reglages!$I$21*2))</f>
        <v/>
      </c>
      <c r="C15" s="8">
        <f>IF(3&gt;Reglages!$G$21,"",$B$5*Reglages!$H$21^2/SUMPRODUCT(Reglages!$H$21^(ROW(INDIRECT("1:"&amp;Reglages!$G$21))-1)))</f>
        <v/>
      </c>
      <c r="D15" s="39" t="n"/>
      <c r="E15" s="69" t="n"/>
      <c r="F15" s="58" t="n"/>
      <c r="G15" s="10">
        <f>IF(OR(D15&lt;&gt;1,E15="",E15=0),0,F15/E15*(1-Reglages!$B$5))</f>
        <v/>
      </c>
      <c r="H15" s="8">
        <f>SUM($F$13:F15)</f>
        <v/>
      </c>
      <c r="I15" s="10">
        <f>SUM($G$13:G15)</f>
        <v/>
      </c>
      <c r="J15" s="20">
        <f>IF(I15=0,"",H15/I15)</f>
        <v/>
      </c>
      <c r="K15" s="21">
        <f>IF(I15=0,"",J15*(1+$B$8)/(1-Reglages!$B$5))</f>
        <v/>
      </c>
      <c r="L15" s="8">
        <f>I15*$B$9</f>
        <v/>
      </c>
      <c r="M15" s="13">
        <f>IF(I15=0,"",L15-H15)</f>
        <v/>
      </c>
      <c r="N15" s="12">
        <f>IF(OR(I15=0,B15=""),"",K15/B15-1)</f>
        <v/>
      </c>
    </row>
    <row r="16">
      <c r="A16" s="57" t="n">
        <v>4</v>
      </c>
      <c r="B16" s="20">
        <f>IF(4&gt;Reglages!$G$21,"",$B$4*(1-Reglages!$I$21*3))</f>
        <v/>
      </c>
      <c r="C16" s="8">
        <f>IF(4&gt;Reglages!$G$21,"",$B$5*Reglages!$H$21^3/SUMPRODUCT(Reglages!$H$21^(ROW(INDIRECT("1:"&amp;Reglages!$G$21))-1)))</f>
        <v/>
      </c>
      <c r="D16" s="39" t="n"/>
      <c r="E16" s="69" t="n"/>
      <c r="F16" s="58" t="n"/>
      <c r="G16" s="10">
        <f>IF(OR(D16&lt;&gt;1,E16="",E16=0),0,F16/E16*(1-Reglages!$B$5))</f>
        <v/>
      </c>
      <c r="H16" s="8">
        <f>SUM($F$13:F16)</f>
        <v/>
      </c>
      <c r="I16" s="10">
        <f>SUM($G$13:G16)</f>
        <v/>
      </c>
      <c r="J16" s="20">
        <f>IF(I16=0,"",H16/I16)</f>
        <v/>
      </c>
      <c r="K16" s="21">
        <f>IF(I16=0,"",J16*(1+$B$8)/(1-Reglages!$B$5))</f>
        <v/>
      </c>
      <c r="L16" s="8">
        <f>I16*$B$9</f>
        <v/>
      </c>
      <c r="M16" s="13">
        <f>IF(I16=0,"",L16-H16)</f>
        <v/>
      </c>
      <c r="N16" s="12">
        <f>IF(OR(I16=0,B16=""),"",K16/B16-1)</f>
        <v/>
      </c>
    </row>
    <row r="17">
      <c r="A17" s="57" t="n">
        <v>5</v>
      </c>
      <c r="B17" s="20">
        <f>IF(5&gt;Reglages!$G$21,"",$B$4*(1-Reglages!$I$21*4))</f>
        <v/>
      </c>
      <c r="C17" s="8">
        <f>IF(5&gt;Reglages!$G$21,"",$B$5*Reglages!$H$21^4/SUMPRODUCT(Reglages!$H$21^(ROW(INDIRECT("1:"&amp;Reglages!$G$21))-1)))</f>
        <v/>
      </c>
      <c r="D17" s="39" t="n"/>
      <c r="E17" s="69" t="n"/>
      <c r="F17" s="58" t="n"/>
      <c r="G17" s="10">
        <f>IF(OR(D17&lt;&gt;1,E17="",E17=0),0,F17/E17*(1-Reglages!$B$5))</f>
        <v/>
      </c>
      <c r="H17" s="8">
        <f>SUM($F$13:F17)</f>
        <v/>
      </c>
      <c r="I17" s="10">
        <f>SUM($G$13:G17)</f>
        <v/>
      </c>
      <c r="J17" s="20">
        <f>IF(I17=0,"",H17/I17)</f>
        <v/>
      </c>
      <c r="K17" s="21">
        <f>IF(I17=0,"",J17*(1+$B$8)/(1-Reglages!$B$5))</f>
        <v/>
      </c>
      <c r="L17" s="8">
        <f>I17*$B$9</f>
        <v/>
      </c>
      <c r="M17" s="13">
        <f>IF(I17=0,"",L17-H17)</f>
        <v/>
      </c>
      <c r="N17" s="12">
        <f>IF(OR(I17=0,B17=""),"",K17/B17-1)</f>
        <v/>
      </c>
    </row>
    <row r="18">
      <c r="A18" s="57" t="n">
        <v>6</v>
      </c>
      <c r="B18" s="20">
        <f>IF(6&gt;Reglages!$G$21,"",$B$4*(1-Reglages!$I$21*5))</f>
        <v/>
      </c>
      <c r="C18" s="8">
        <f>IF(6&gt;Reglages!$G$21,"",$B$5*Reglages!$H$21^5/SUMPRODUCT(Reglages!$H$21^(ROW(INDIRECT("1:"&amp;Reglages!$G$21))-1)))</f>
        <v/>
      </c>
      <c r="D18" s="39" t="n"/>
      <c r="E18" s="69" t="n"/>
      <c r="F18" s="58" t="n"/>
      <c r="G18" s="10">
        <f>IF(OR(D18&lt;&gt;1,E18="",E18=0),0,F18/E18*(1-Reglages!$B$5))</f>
        <v/>
      </c>
      <c r="H18" s="8">
        <f>SUM($F$13:F18)</f>
        <v/>
      </c>
      <c r="I18" s="10">
        <f>SUM($G$13:G18)</f>
        <v/>
      </c>
      <c r="J18" s="20">
        <f>IF(I18=0,"",H18/I18)</f>
        <v/>
      </c>
      <c r="K18" s="21">
        <f>IF(I18=0,"",J18*(1+$B$8)/(1-Reglages!$B$5))</f>
        <v/>
      </c>
      <c r="L18" s="8">
        <f>I18*$B$9</f>
        <v/>
      </c>
      <c r="M18" s="13">
        <f>IF(I18=0,"",L18-H18)</f>
        <v/>
      </c>
      <c r="N18" s="12">
        <f>IF(OR(I18=0,B18=""),"",K18/B18-1)</f>
        <v/>
      </c>
    </row>
    <row r="19">
      <c r="A19" s="57" t="n">
        <v>7</v>
      </c>
      <c r="B19" s="20">
        <f>IF(7&gt;Reglages!$G$21,"",$B$4*(1-Reglages!$I$21*6))</f>
        <v/>
      </c>
      <c r="C19" s="8">
        <f>IF(7&gt;Reglages!$G$21,"",$B$5*Reglages!$H$21^6/SUMPRODUCT(Reglages!$H$21^(ROW(INDIRECT("1:"&amp;Reglages!$G$21))-1)))</f>
        <v/>
      </c>
      <c r="D19" s="39" t="n"/>
      <c r="E19" s="69" t="n"/>
      <c r="F19" s="58" t="n"/>
      <c r="G19" s="10">
        <f>IF(OR(D19&lt;&gt;1,E19="",E19=0),0,F19/E19*(1-Reglages!$B$5))</f>
        <v/>
      </c>
      <c r="H19" s="8">
        <f>SUM($F$13:F19)</f>
        <v/>
      </c>
      <c r="I19" s="10">
        <f>SUM($G$13:G19)</f>
        <v/>
      </c>
      <c r="J19" s="20">
        <f>IF(I19=0,"",H19/I19)</f>
        <v/>
      </c>
      <c r="K19" s="21">
        <f>IF(I19=0,"",J19*(1+$B$8)/(1-Reglages!$B$5))</f>
        <v/>
      </c>
      <c r="L19" s="8">
        <f>I19*$B$9</f>
        <v/>
      </c>
      <c r="M19" s="13">
        <f>IF(I19=0,"",L19-H19)</f>
        <v/>
      </c>
      <c r="N19" s="12">
        <f>IF(OR(I19=0,B19=""),"",K19/B19-1)</f>
        <v/>
      </c>
    </row>
    <row r="20">
      <c r="A20" s="57" t="n">
        <v>8</v>
      </c>
      <c r="B20" s="20">
        <f>IF(8&gt;Reglages!$G$21,"",$B$4*(1-Reglages!$I$21*7))</f>
        <v/>
      </c>
      <c r="C20" s="8">
        <f>IF(8&gt;Reglages!$G$21,"",$B$5*Reglages!$H$21^7/SUMPRODUCT(Reglages!$H$21^(ROW(INDIRECT("1:"&amp;Reglages!$G$21))-1)))</f>
        <v/>
      </c>
      <c r="D20" s="39" t="n"/>
      <c r="E20" s="69" t="n"/>
      <c r="F20" s="58" t="n"/>
      <c r="G20" s="10">
        <f>IF(OR(D20&lt;&gt;1,E20="",E20=0),0,F20/E20*(1-Reglages!$B$5))</f>
        <v/>
      </c>
      <c r="H20" s="8">
        <f>SUM($F$13:F20)</f>
        <v/>
      </c>
      <c r="I20" s="10">
        <f>SUM($G$13:G20)</f>
        <v/>
      </c>
      <c r="J20" s="20">
        <f>IF(I20=0,"",H20/I20)</f>
        <v/>
      </c>
      <c r="K20" s="21">
        <f>IF(I20=0,"",J20*(1+$B$8)/(1-Reglages!$B$5))</f>
        <v/>
      </c>
      <c r="L20" s="8">
        <f>I20*$B$9</f>
        <v/>
      </c>
      <c r="M20" s="13">
        <f>IF(I20=0,"",L20-H20)</f>
        <v/>
      </c>
      <c r="N20" s="12">
        <f>IF(OR(I20=0,B20=""),"",K20/B20-1)</f>
        <v/>
      </c>
    </row>
    <row r="21">
      <c r="A21" s="57" t="n">
        <v>9</v>
      </c>
      <c r="B21" s="20">
        <f>IF(9&gt;Reglages!$G$21,"",$B$4*(1-Reglages!$I$21*8))</f>
        <v/>
      </c>
      <c r="C21" s="8">
        <f>IF(9&gt;Reglages!$G$21,"",$B$5*Reglages!$H$21^8/SUMPRODUCT(Reglages!$H$21^(ROW(INDIRECT("1:"&amp;Reglages!$G$21))-1)))</f>
        <v/>
      </c>
      <c r="D21" s="39" t="n"/>
      <c r="E21" s="69" t="n"/>
      <c r="F21" s="58" t="n"/>
      <c r="G21" s="10">
        <f>IF(OR(D21&lt;&gt;1,E21="",E21=0),0,F21/E21*(1-Reglages!$B$5))</f>
        <v/>
      </c>
      <c r="H21" s="8">
        <f>SUM($F$13:F21)</f>
        <v/>
      </c>
      <c r="I21" s="10">
        <f>SUM($G$13:G21)</f>
        <v/>
      </c>
      <c r="J21" s="20">
        <f>IF(I21=0,"",H21/I21)</f>
        <v/>
      </c>
      <c r="K21" s="21">
        <f>IF(I21=0,"",J21*(1+$B$8)/(1-Reglages!$B$5))</f>
        <v/>
      </c>
      <c r="L21" s="8">
        <f>I21*$B$9</f>
        <v/>
      </c>
      <c r="M21" s="13">
        <f>IF(I21=0,"",L21-H21)</f>
        <v/>
      </c>
      <c r="N21" s="12">
        <f>IF(OR(I21=0,B21=""),"",K21/B21-1)</f>
        <v/>
      </c>
    </row>
    <row r="22">
      <c r="A22" s="57" t="n">
        <v>10</v>
      </c>
      <c r="B22" s="20">
        <f>IF(10&gt;Reglages!$G$21,"",$B$4*(1-Reglages!$I$21*9))</f>
        <v/>
      </c>
      <c r="C22" s="8">
        <f>IF(10&gt;Reglages!$G$21,"",$B$5*Reglages!$H$21^9/SUMPRODUCT(Reglages!$H$21^(ROW(INDIRECT("1:"&amp;Reglages!$G$21))-1)))</f>
        <v/>
      </c>
      <c r="D22" s="39" t="n"/>
      <c r="E22" s="69" t="n"/>
      <c r="F22" s="58" t="n"/>
      <c r="G22" s="10">
        <f>IF(OR(D22&lt;&gt;1,E22="",E22=0),0,F22/E22*(1-Reglages!$B$5))</f>
        <v/>
      </c>
      <c r="H22" s="8">
        <f>SUM($F$13:F22)</f>
        <v/>
      </c>
      <c r="I22" s="10">
        <f>SUM($G$13:G22)</f>
        <v/>
      </c>
      <c r="J22" s="20">
        <f>IF(I22=0,"",H22/I22)</f>
        <v/>
      </c>
      <c r="K22" s="21">
        <f>IF(I22=0,"",J22*(1+$B$8)/(1-Reglages!$B$5))</f>
        <v/>
      </c>
      <c r="L22" s="8">
        <f>I22*$B$9</f>
        <v/>
      </c>
      <c r="M22" s="13">
        <f>IF(I22=0,"",L22-H22)</f>
        <v/>
      </c>
      <c r="N22" s="12">
        <f>IF(OR(I22=0,B22=""),"",K22/B22-1)</f>
        <v/>
      </c>
    </row>
    <row r="23">
      <c r="A23" s="57" t="n">
        <v>11</v>
      </c>
      <c r="B23" s="20">
        <f>IF(11&gt;Reglages!$G$21,"",$B$4*(1-Reglages!$I$21*10))</f>
        <v/>
      </c>
      <c r="C23" s="8">
        <f>IF(11&gt;Reglages!$G$21,"",$B$5*Reglages!$H$21^10/SUMPRODUCT(Reglages!$H$21^(ROW(INDIRECT("1:"&amp;Reglages!$G$21))-1)))</f>
        <v/>
      </c>
      <c r="D23" s="39" t="n"/>
      <c r="E23" s="69" t="n"/>
      <c r="F23" s="58" t="n"/>
      <c r="G23" s="10">
        <f>IF(OR(D23&lt;&gt;1,E23="",E23=0),0,F23/E23*(1-Reglages!$B$5))</f>
        <v/>
      </c>
      <c r="H23" s="8">
        <f>SUM($F$13:F23)</f>
        <v/>
      </c>
      <c r="I23" s="10">
        <f>SUM($G$13:G23)</f>
        <v/>
      </c>
      <c r="J23" s="20">
        <f>IF(I23=0,"",H23/I23)</f>
        <v/>
      </c>
      <c r="K23" s="21">
        <f>IF(I23=0,"",J23*(1+$B$8)/(1-Reglages!$B$5))</f>
        <v/>
      </c>
      <c r="L23" s="8">
        <f>I23*$B$9</f>
        <v/>
      </c>
      <c r="M23" s="13">
        <f>IF(I23=0,"",L23-H23)</f>
        <v/>
      </c>
      <c r="N23" s="12">
        <f>IF(OR(I23=0,B23=""),"",K23/B23-1)</f>
        <v/>
      </c>
    </row>
    <row r="24">
      <c r="A24" s="57" t="n">
        <v>12</v>
      </c>
      <c r="B24" s="20">
        <f>IF(12&gt;Reglages!$G$21,"",$B$4*(1-Reglages!$I$21*11))</f>
        <v/>
      </c>
      <c r="C24" s="8">
        <f>IF(12&gt;Reglages!$G$21,"",$B$5*Reglages!$H$21^11/SUMPRODUCT(Reglages!$H$21^(ROW(INDIRECT("1:"&amp;Reglages!$G$21))-1)))</f>
        <v/>
      </c>
      <c r="D24" s="39" t="n"/>
      <c r="E24" s="69" t="n"/>
      <c r="F24" s="58" t="n"/>
      <c r="G24" s="10">
        <f>IF(OR(D24&lt;&gt;1,E24="",E24=0),0,F24/E24*(1-Reglages!$B$5))</f>
        <v/>
      </c>
      <c r="H24" s="8">
        <f>SUM($F$13:F24)</f>
        <v/>
      </c>
      <c r="I24" s="10">
        <f>SUM($G$13:G24)</f>
        <v/>
      </c>
      <c r="J24" s="20">
        <f>IF(I24=0,"",H24/I24)</f>
        <v/>
      </c>
      <c r="K24" s="21">
        <f>IF(I24=0,"",J24*(1+$B$8)/(1-Reglages!$B$5))</f>
        <v/>
      </c>
      <c r="L24" s="8">
        <f>I24*$B$9</f>
        <v/>
      </c>
      <c r="M24" s="13">
        <f>IF(I24=0,"",L24-H24)</f>
        <v/>
      </c>
      <c r="N24" s="12">
        <f>IF(OR(I24=0,B24=""),"",K24/B24-1)</f>
        <v/>
      </c>
    </row>
    <row r="25">
      <c r="A25" s="57" t="n">
        <v>13</v>
      </c>
      <c r="B25" s="20">
        <f>IF(13&gt;Reglages!$G$21,"",$B$4*(1-Reglages!$I$21*12))</f>
        <v/>
      </c>
      <c r="C25" s="8">
        <f>IF(13&gt;Reglages!$G$21,"",$B$5*Reglages!$H$21^12/SUMPRODUCT(Reglages!$H$21^(ROW(INDIRECT("1:"&amp;Reglages!$G$21))-1)))</f>
        <v/>
      </c>
      <c r="D25" s="39" t="n"/>
      <c r="E25" s="69" t="n"/>
      <c r="F25" s="58" t="n"/>
      <c r="G25" s="10">
        <f>IF(OR(D25&lt;&gt;1,E25="",E25=0),0,F25/E25*(1-Reglages!$B$5))</f>
        <v/>
      </c>
      <c r="H25" s="8">
        <f>SUM($F$13:F25)</f>
        <v/>
      </c>
      <c r="I25" s="10">
        <f>SUM($G$13:G25)</f>
        <v/>
      </c>
      <c r="J25" s="20">
        <f>IF(I25=0,"",H25/I25)</f>
        <v/>
      </c>
      <c r="K25" s="21">
        <f>IF(I25=0,"",J25*(1+$B$8)/(1-Reglages!$B$5))</f>
        <v/>
      </c>
      <c r="L25" s="8">
        <f>I25*$B$9</f>
        <v/>
      </c>
      <c r="M25" s="13">
        <f>IF(I25=0,"",L25-H25)</f>
        <v/>
      </c>
      <c r="N25" s="12">
        <f>IF(OR(I25=0,B25=""),"",K25/B25-1)</f>
        <v/>
      </c>
    </row>
    <row r="26">
      <c r="A26" s="57" t="n">
        <v>14</v>
      </c>
      <c r="B26" s="20">
        <f>IF(14&gt;Reglages!$G$21,"",$B$4*(1-Reglages!$I$21*13))</f>
        <v/>
      </c>
      <c r="C26" s="8">
        <f>IF(14&gt;Reglages!$G$21,"",$B$5*Reglages!$H$21^13/SUMPRODUCT(Reglages!$H$21^(ROW(INDIRECT("1:"&amp;Reglages!$G$21))-1)))</f>
        <v/>
      </c>
      <c r="D26" s="39" t="n"/>
      <c r="E26" s="69" t="n"/>
      <c r="F26" s="58" t="n"/>
      <c r="G26" s="10">
        <f>IF(OR(D26&lt;&gt;1,E26="",E26=0),0,F26/E26*(1-Reglages!$B$5))</f>
        <v/>
      </c>
      <c r="H26" s="8">
        <f>SUM($F$13:F26)</f>
        <v/>
      </c>
      <c r="I26" s="10">
        <f>SUM($G$13:G26)</f>
        <v/>
      </c>
      <c r="J26" s="20">
        <f>IF(I26=0,"",H26/I26)</f>
        <v/>
      </c>
      <c r="K26" s="21">
        <f>IF(I26=0,"",J26*(1+$B$8)/(1-Reglages!$B$5))</f>
        <v/>
      </c>
      <c r="L26" s="8">
        <f>I26*$B$9</f>
        <v/>
      </c>
      <c r="M26" s="13">
        <f>IF(I26=0,"",L26-H26)</f>
        <v/>
      </c>
      <c r="N26" s="12">
        <f>IF(OR(I26=0,B26=""),"",K26/B26-1)</f>
        <v/>
      </c>
    </row>
    <row r="27">
      <c r="A27" s="6" t="inlineStr">
        <is>
          <t>TOTAL</t>
        </is>
      </c>
      <c r="B27" s="22" t="n"/>
      <c r="C27" s="23">
        <f>SUM(C13:C26)</f>
        <v/>
      </c>
      <c r="D27" s="22" t="n"/>
      <c r="E27" s="22" t="n"/>
      <c r="F27" s="23">
        <f>SUM(F13:F26)</f>
        <v/>
      </c>
      <c r="G27" s="59">
        <f>SUM(G13:G26)</f>
        <v/>
      </c>
      <c r="H27" s="22" t="n"/>
      <c r="I27" s="22" t="n"/>
      <c r="J27" s="70">
        <f>IF(G27=0,"",F27/G27)</f>
        <v/>
      </c>
      <c r="K27" s="70">
        <f>IF(G27=0,"",J27*(1+$B$8)/(1-Reglages!$B$5))</f>
        <v/>
      </c>
      <c r="L27" s="23">
        <f>G27*$B$9</f>
        <v/>
      </c>
      <c r="M27" s="25">
        <f>IF(G27=0,"",L27-F27)</f>
        <v/>
      </c>
      <c r="N27" s="60">
        <f>IF(OR(G27=0,$B$9=0),"",K27/$B$9-1)</f>
        <v/>
      </c>
    </row>
    <row r="29">
      <c r="A29" s="5" t="inlineStr">
        <is>
          <t>Si vous revendez tout maintenant au prix de revente</t>
        </is>
      </c>
      <c r="E29" s="61">
        <f>IF(G27=0,"",F27*$B$8)</f>
        <v/>
      </c>
    </row>
    <row r="30">
      <c r="A30" s="5" t="inlineStr">
        <is>
          <t>Etat de la descente</t>
        </is>
      </c>
      <c r="E30" s="7">
        <f>IF(G27=0,"pas commencee",IF($B$9&lt;=$E$6,"ABANDON : sous le seuil",IF(AND($E$5&lt;&gt;"",$E$5&gt;Reglages!$B$8),"BLOQUEE : trop longue",IF($B$9&gt;=K27,"REVENDRE MAINTENANT",IF(COUNT(D13:D26)-COUNTIF(D13:D26,1)=0,"echelle epuisee","en cours"))))</f>
        <v/>
      </c>
    </row>
  </sheetData>
  <conditionalFormatting sqref="E30">
    <cfRule type="expression" priority="1" dxfId="0">
      <formula>OR(E30="ABANDON : sous le seuil",E30="BLOQUEE : trop longue")</formula>
    </cfRule>
    <cfRule type="expression" priority="2" dxfId="1">
      <formula>E30="REVENDRE MAINTENANT"</formula>
    </cfRule>
  </conditionalFormatting>
  <conditionalFormatting sqref="M13:M27">
    <cfRule type="cellIs" priority="3" operator="lessThan" dxfId="3">
      <formula>0</formula>
    </cfRule>
  </conditionalFormatting>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s>
  <sheetData>
    <row r="1">
      <c r="A1" s="1" t="inlineStr">
        <is>
          <t>Risque</t>
        </is>
      </c>
    </row>
    <row r="2">
      <c r="A2" s="2" t="inlineStr">
        <is>
          <t>Ce que coute un marche qui continue de baisser sous vos echelles.</t>
        </is>
      </c>
    </row>
    <row r="4">
      <c r="A4" s="27" t="inlineStr">
        <is>
          <t>Exposition</t>
        </is>
      </c>
    </row>
    <row r="5">
      <c r="A5" s="28" t="inlineStr">
        <is>
          <t>Investi aujourd'hui</t>
        </is>
      </c>
      <c r="B5" s="53">
        <f>'Tableau de bord'!C14</f>
        <v/>
      </c>
    </row>
    <row r="6">
      <c r="A6" s="28" t="inlineStr">
        <is>
          <t>Engagement si toutes les echelles se remplissent</t>
        </is>
      </c>
      <c r="B6" s="53">
        <f>'Tableau de bord'!D14</f>
        <v/>
      </c>
    </row>
    <row r="7">
      <c r="A7" s="28" t="inlineStr">
        <is>
          <t>Plafond que vous vous etes fixe</t>
        </is>
      </c>
      <c r="B7" s="53">
        <f>Reglages!B7</f>
        <v/>
      </c>
    </row>
    <row r="8">
      <c r="A8" s="28" t="inlineStr">
        <is>
          <t>Depassement du plafond</t>
        </is>
      </c>
      <c r="B8" s="53">
        <f>MAX(0,B6-B7)</f>
        <v/>
      </c>
    </row>
    <row r="9">
      <c r="A9" s="28" t="inlineStr">
        <is>
          <t>Gain si tout se revend a l'objectif</t>
        </is>
      </c>
      <c r="B9" s="53">
        <f>B6*Reglages!B6</f>
        <v/>
      </c>
    </row>
    <row r="11">
      <c r="A11" s="27" t="inlineStr">
        <is>
          <t>Si le marche baisse encore, sous le dernier palier</t>
        </is>
      </c>
    </row>
    <row r="12" ht="34" customHeight="1">
      <c r="A12" s="6" t="inlineStr">
        <is>
          <t>Baisse supplementaire</t>
        </is>
      </c>
      <c r="B12" s="6" t="inlineStr">
        <is>
          <t>Perte latente</t>
        </is>
      </c>
      <c r="C12" s="6" t="inlineStr">
        <is>
          <t>En operations gagnantes effacees</t>
        </is>
      </c>
      <c r="D12" s="6" t="inlineStr"/>
      <c r="E12" s="6" t="inlineStr"/>
      <c r="F12" s="6" t="inlineStr"/>
    </row>
    <row r="13">
      <c r="A13" s="28" t="inlineStr">
        <is>
          <t>le marche perd encore 10 % sous vos derniers paliers</t>
        </is>
      </c>
      <c r="B13" s="71">
        <f>-$B$6*0.1</f>
        <v/>
      </c>
      <c r="C13" s="72">
        <f>ABS(B13)/($B$6*Reglages!$B$6)</f>
        <v/>
      </c>
    </row>
    <row r="14">
      <c r="A14" s="28" t="inlineStr">
        <is>
          <t>le marche perd encore 20 % sous vos derniers paliers</t>
        </is>
      </c>
      <c r="B14" s="71">
        <f>-$B$6*0.2</f>
        <v/>
      </c>
      <c r="C14" s="72">
        <f>ABS(B14)/($B$6*Reglages!$B$6)</f>
        <v/>
      </c>
    </row>
    <row r="15">
      <c r="A15" s="28" t="inlineStr">
        <is>
          <t>le marche perd encore 30 % sous vos derniers paliers</t>
        </is>
      </c>
      <c r="B15" s="71">
        <f>-$B$6*0.3</f>
        <v/>
      </c>
      <c r="C15" s="72">
        <f>ABS(B15)/($B$6*Reglages!$B$6)</f>
        <v/>
      </c>
    </row>
    <row r="16">
      <c r="A16" s="28" t="inlineStr">
        <is>
          <t>le marche perd encore 50 % sous vos derniers paliers</t>
        </is>
      </c>
      <c r="B16" s="71">
        <f>-$B$6*0.5</f>
        <v/>
      </c>
      <c r="C16" s="72">
        <f>ABS(B16)/($B$6*Reglages!$B$6)</f>
        <v/>
      </c>
    </row>
    <row r="17">
      <c r="A17" s="28" t="inlineStr">
        <is>
          <t>le marche perd encore 70 % sous vos derniers paliers</t>
        </is>
      </c>
      <c r="B17" s="71">
        <f>-$B$6*0.7</f>
        <v/>
      </c>
      <c r="C17" s="72">
        <f>ABS(B17)/($B$6*Reglages!$B$6)</f>
        <v/>
      </c>
    </row>
    <row r="19">
      <c r="A19" s="27" t="inlineStr">
        <is>
          <t>Ce que l'histoire d'un an dit de vos pieces</t>
        </is>
      </c>
    </row>
    <row r="20" ht="34" customHeight="1">
      <c r="A20" s="6" t="inlineStr">
        <is>
          <t>Crypto</t>
        </is>
      </c>
      <c r="B20" s="6" t="inlineStr">
        <is>
          <t>Volatilite
par jour</t>
        </is>
      </c>
      <c r="C20" s="6" t="inlineStr">
        <is>
          <t>Baisse mediane</t>
        </is>
      </c>
      <c r="D20" s="6" t="inlineStr">
        <is>
          <t>Baisse p75</t>
        </is>
      </c>
      <c r="E20" s="6" t="inlineStr">
        <is>
          <t>Baisse p90</t>
        </is>
      </c>
      <c r="F20" s="6" t="inlineStr">
        <is>
          <t>Pire baisse</t>
        </is>
      </c>
    </row>
    <row r="21">
      <c r="A21" s="73" t="inlineStr">
        <is>
          <t>AAVE</t>
        </is>
      </c>
      <c r="B21" s="12" t="n">
        <v>0.0453</v>
      </c>
      <c r="C21" s="12" t="n">
        <v>0.0713</v>
      </c>
      <c r="D21" s="12" t="n">
        <v>0.1464</v>
      </c>
      <c r="E21" s="12" t="n">
        <v>0.3536</v>
      </c>
      <c r="F21" s="74" t="n">
        <v>0.8202</v>
      </c>
    </row>
    <row r="22">
      <c r="A22" s="73" t="inlineStr">
        <is>
          <t>ADA</t>
        </is>
      </c>
      <c r="B22" s="12" t="n">
        <v>0.0408</v>
      </c>
      <c r="C22" s="12" t="n">
        <v>0.0716</v>
      </c>
      <c r="D22" s="12" t="n">
        <v>0.114</v>
      </c>
      <c r="E22" s="12" t="n">
        <v>0.1558</v>
      </c>
      <c r="F22" s="74" t="n">
        <v>0.8512999999999999</v>
      </c>
    </row>
    <row r="23">
      <c r="A23" s="73" t="inlineStr">
        <is>
          <t>BCH</t>
        </is>
      </c>
      <c r="B23" s="12" t="n">
        <v>0.038</v>
      </c>
      <c r="C23" s="12" t="n">
        <v>0.0545</v>
      </c>
      <c r="D23" s="12" t="n">
        <v>0.0955</v>
      </c>
      <c r="E23" s="12" t="n">
        <v>0.1941</v>
      </c>
      <c r="F23" s="74" t="n">
        <v>0.7235</v>
      </c>
    </row>
    <row r="24">
      <c r="A24" s="73" t="inlineStr">
        <is>
          <t>DGB</t>
        </is>
      </c>
      <c r="B24" s="12" t="n">
        <v>0.0519</v>
      </c>
      <c r="C24" s="12" t="n">
        <v>0.0945</v>
      </c>
      <c r="D24" s="12" t="n">
        <v>0.1917</v>
      </c>
      <c r="E24" s="12" t="n">
        <v>0.4217</v>
      </c>
      <c r="F24" s="74" t="n">
        <v>0.7833</v>
      </c>
    </row>
    <row r="25">
      <c r="A25" s="73" t="inlineStr">
        <is>
          <t>DOGE</t>
        </is>
      </c>
      <c r="B25" s="12" t="n">
        <v>0.0378</v>
      </c>
      <c r="C25" s="12" t="n">
        <v>0.0587</v>
      </c>
      <c r="D25" s="12" t="n">
        <v>0.1018</v>
      </c>
      <c r="E25" s="12" t="n">
        <v>0.1725</v>
      </c>
      <c r="F25" s="74" t="n">
        <v>0.7662</v>
      </c>
    </row>
    <row r="26">
      <c r="A26" s="73" t="inlineStr">
        <is>
          <t>ETH</t>
        </is>
      </c>
      <c r="B26" s="12" t="n">
        <v>0.0336</v>
      </c>
      <c r="C26" s="12" t="n">
        <v>0.0576</v>
      </c>
      <c r="D26" s="12" t="n">
        <v>0.1363</v>
      </c>
      <c r="E26" s="12" t="n">
        <v>0.2498</v>
      </c>
      <c r="F26" s="74" t="n">
        <v>0.6805</v>
      </c>
    </row>
    <row r="27">
      <c r="A27" s="73" t="inlineStr">
        <is>
          <t>TRX</t>
        </is>
      </c>
      <c r="B27" s="12" t="n">
        <v>0.013</v>
      </c>
      <c r="C27" s="12" t="n">
        <v>0.0217</v>
      </c>
      <c r="D27" s="12" t="n">
        <v>0.0452</v>
      </c>
      <c r="E27" s="12" t="n">
        <v>0.0989</v>
      </c>
      <c r="F27" s="74" t="n">
        <v>0.2389</v>
      </c>
    </row>
    <row r="28">
      <c r="A28" s="73" t="inlineStr">
        <is>
          <t>UNI</t>
        </is>
      </c>
      <c r="B28" s="12" t="n">
        <v>0.0514</v>
      </c>
      <c r="C28" s="12" t="n">
        <v>0.0885</v>
      </c>
      <c r="D28" s="12" t="n">
        <v>0.2477</v>
      </c>
      <c r="E28" s="12" t="n">
        <v>0.5247000000000001</v>
      </c>
      <c r="F28" s="74" t="n">
        <v>0.8035</v>
      </c>
    </row>
    <row r="29">
      <c r="A29" s="73" t="inlineStr">
        <is>
          <t>XRP</t>
        </is>
      </c>
      <c r="B29" s="12" t="n">
        <v>0.0343</v>
      </c>
      <c r="C29" s="12" t="n">
        <v>0.06</v>
      </c>
      <c r="D29" s="12" t="n">
        <v>0.1251</v>
      </c>
      <c r="E29" s="12" t="n">
        <v>0.2083</v>
      </c>
      <c r="F29" s="74" t="n">
        <v>0.6838</v>
      </c>
    </row>
    <row r="31" ht="46" customHeight="1">
      <c r="A31" s="30" t="inlineStr">
        <is>
          <t>Correlation moyenne mesuree entre vos pieces : 0,80. Elles montent et descendent ensemble, donc les neuf echelles se remplissent le meme jour. Ce n'est pas neuf paris, c'est un seul pari repete neuf fois.</t>
        </is>
      </c>
    </row>
  </sheetData>
  <mergeCells count="1">
    <mergeCell ref="A31:F31"/>
  </mergeCells>
  <conditionalFormatting sqref="B8">
    <cfRule type="cellIs" priority="1" operator="greaterThan" dxfId="0">
      <formula>0</formula>
    </cfRule>
  </conditionalFormatting>
  <conditionalFormatting sqref="B13:B17">
    <cfRule type="cellIs" priority="2" operator="lessThan" dxfId="3">
      <formula>0</formula>
    </cfRule>
  </conditionalFormatting>
  <conditionalFormatting sqref="F21:F29">
    <cfRule type="cellIs" priority="3" operator="greaterThan" dxfId="0">
      <formula>0.6</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2026-09-06T14:31:47Z</dcterms:created>
  <dcterms:modified xsi:type="dcterms:W3CDTF">2026-09-06T14:31:47Z</dcterms:modified>
</cp:coreProperties>
</file>