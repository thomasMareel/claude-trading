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A7C0E2B-4384-4632-8A66-6C259B080729}" xr6:coauthVersionLast="47" xr6:coauthVersionMax="47" xr10:uidLastSave="{00000000-0000-0000-0000-000000000000}"/>
  <bookViews>
    <workbookView xWindow="-110" yWindow="-110" windowWidth="19420" windowHeight="10300" activeTab="1" xr2:uid="{3B0EF9AD-2FB9-4CCE-8619-F16FD3515AD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6" i="2" l="1"/>
  <c r="F41" i="2"/>
  <c r="B221" i="2" l="1"/>
  <c r="F228" i="2"/>
  <c r="F227" i="2"/>
  <c r="F226" i="2" l="1"/>
  <c r="F173" i="2"/>
  <c r="F27" i="2" l="1"/>
  <c r="F45" i="2" l="1"/>
  <c r="F46" i="2"/>
  <c r="F47" i="2"/>
  <c r="E224" i="2" l="1"/>
  <c r="E225" i="2"/>
  <c r="E226" i="2"/>
  <c r="E198" i="2"/>
  <c r="E199" i="2"/>
  <c r="E200" i="2"/>
  <c r="E172" i="2"/>
  <c r="E173" i="2"/>
  <c r="E174" i="2"/>
  <c r="E146" i="2"/>
  <c r="E147" i="2"/>
  <c r="E120" i="2"/>
  <c r="E121" i="2"/>
  <c r="E122" i="2"/>
  <c r="E16" i="2"/>
  <c r="E17" i="2"/>
  <c r="E18" i="2"/>
  <c r="E19" i="2"/>
  <c r="E20" i="2"/>
  <c r="E21" i="2"/>
  <c r="E22" i="2"/>
  <c r="E42" i="2"/>
  <c r="E43" i="2"/>
  <c r="E44" i="2"/>
  <c r="E68" i="2"/>
  <c r="E69" i="2"/>
  <c r="E70" i="2"/>
  <c r="F95" i="2"/>
  <c r="F96" i="2"/>
  <c r="E94" i="2"/>
  <c r="E95" i="2"/>
  <c r="E96" i="2"/>
  <c r="A173" i="2"/>
  <c r="F44" i="2" l="1"/>
  <c r="O187" i="2"/>
  <c r="F43" i="2"/>
  <c r="F70" i="2"/>
  <c r="F225" i="2"/>
  <c r="F69" i="2"/>
  <c r="B193" i="2" l="1"/>
  <c r="F11" i="2"/>
  <c r="D233" i="2" l="1"/>
  <c r="K231" i="2"/>
  <c r="J231" i="2"/>
  <c r="I231" i="2"/>
  <c r="M230" i="2"/>
  <c r="K230" i="2"/>
  <c r="J230" i="2"/>
  <c r="I230" i="2"/>
  <c r="H230" i="2"/>
  <c r="M229" i="2"/>
  <c r="K229" i="2"/>
  <c r="J229" i="2"/>
  <c r="I229" i="2"/>
  <c r="H229" i="2"/>
  <c r="M228" i="2"/>
  <c r="K228" i="2"/>
  <c r="J228" i="2"/>
  <c r="I228" i="2"/>
  <c r="H228" i="2"/>
  <c r="M227" i="2"/>
  <c r="K227" i="2"/>
  <c r="J227" i="2"/>
  <c r="I227" i="2"/>
  <c r="H227" i="2"/>
  <c r="M226" i="2"/>
  <c r="K226" i="2"/>
  <c r="J226" i="2"/>
  <c r="I226" i="2"/>
  <c r="H226" i="2"/>
  <c r="M225" i="2"/>
  <c r="K225" i="2"/>
  <c r="J225" i="2"/>
  <c r="I225" i="2"/>
  <c r="H225" i="2"/>
  <c r="A225" i="2"/>
  <c r="M224" i="2"/>
  <c r="K224" i="2"/>
  <c r="J224" i="2"/>
  <c r="I224" i="2"/>
  <c r="F224" i="2"/>
  <c r="H224" i="2" s="1"/>
  <c r="M223" i="2"/>
  <c r="K223" i="2"/>
  <c r="J223" i="2"/>
  <c r="I223" i="2"/>
  <c r="F223" i="2"/>
  <c r="H223" i="2" s="1"/>
  <c r="E223" i="2"/>
  <c r="M222" i="2"/>
  <c r="K222" i="2"/>
  <c r="J222" i="2"/>
  <c r="I222" i="2"/>
  <c r="F222" i="2"/>
  <c r="H222" i="2" s="1"/>
  <c r="E222" i="2"/>
  <c r="M221" i="2"/>
  <c r="K221" i="2"/>
  <c r="J221" i="2"/>
  <c r="I221" i="2"/>
  <c r="F221" i="2"/>
  <c r="H221" i="2" s="1"/>
  <c r="E221" i="2"/>
  <c r="M220" i="2"/>
  <c r="K220" i="2"/>
  <c r="J220" i="2"/>
  <c r="I220" i="2"/>
  <c r="F220" i="2"/>
  <c r="E220" i="2"/>
  <c r="U219" i="2"/>
  <c r="M219" i="2"/>
  <c r="K219" i="2"/>
  <c r="J219" i="2"/>
  <c r="I219" i="2"/>
  <c r="F219" i="2"/>
  <c r="L219" i="2" s="1"/>
  <c r="E219" i="2"/>
  <c r="B219" i="2"/>
  <c r="B220" i="2" s="1"/>
  <c r="B222" i="2" s="1"/>
  <c r="B223" i="2" s="1"/>
  <c r="B224" i="2" s="1"/>
  <c r="B225" i="2" s="1"/>
  <c r="B226" i="2" s="1"/>
  <c r="B227" i="2" s="1"/>
  <c r="B228" i="2" s="1"/>
  <c r="B229" i="2" s="1"/>
  <c r="P218" i="2"/>
  <c r="P232" i="2" s="1"/>
  <c r="D207" i="2"/>
  <c r="K205" i="2"/>
  <c r="J205" i="2"/>
  <c r="I205" i="2"/>
  <c r="M204" i="2"/>
  <c r="K204" i="2"/>
  <c r="J204" i="2"/>
  <c r="I204" i="2"/>
  <c r="H204" i="2"/>
  <c r="M203" i="2"/>
  <c r="K203" i="2"/>
  <c r="J203" i="2"/>
  <c r="I203" i="2"/>
  <c r="H203" i="2"/>
  <c r="M202" i="2"/>
  <c r="K202" i="2"/>
  <c r="J202" i="2"/>
  <c r="I202" i="2"/>
  <c r="H202" i="2"/>
  <c r="M201" i="2"/>
  <c r="K201" i="2"/>
  <c r="J201" i="2"/>
  <c r="I201" i="2"/>
  <c r="H201" i="2"/>
  <c r="M200" i="2"/>
  <c r="K200" i="2"/>
  <c r="J200" i="2"/>
  <c r="I200" i="2"/>
  <c r="H200" i="2"/>
  <c r="M199" i="2"/>
  <c r="K199" i="2"/>
  <c r="J199" i="2"/>
  <c r="I199" i="2"/>
  <c r="H199" i="2"/>
  <c r="A199" i="2"/>
  <c r="M198" i="2"/>
  <c r="K198" i="2"/>
  <c r="J198" i="2"/>
  <c r="I198" i="2"/>
  <c r="F198" i="2"/>
  <c r="H198" i="2" s="1"/>
  <c r="M197" i="2"/>
  <c r="K197" i="2"/>
  <c r="J197" i="2"/>
  <c r="I197" i="2"/>
  <c r="H197" i="2"/>
  <c r="M196" i="2"/>
  <c r="K196" i="2"/>
  <c r="J196" i="2"/>
  <c r="I196" i="2"/>
  <c r="F196" i="2"/>
  <c r="H196" i="2" s="1"/>
  <c r="E196" i="2"/>
  <c r="M195" i="2"/>
  <c r="K195" i="2"/>
  <c r="J195" i="2"/>
  <c r="I195" i="2"/>
  <c r="F195" i="2"/>
  <c r="H195" i="2" s="1"/>
  <c r="E195" i="2"/>
  <c r="M194" i="2"/>
  <c r="K194" i="2"/>
  <c r="J194" i="2"/>
  <c r="I194" i="2"/>
  <c r="F194" i="2"/>
  <c r="H194" i="2" s="1"/>
  <c r="E194" i="2"/>
  <c r="U193" i="2"/>
  <c r="M193" i="2"/>
  <c r="K193" i="2"/>
  <c r="J193" i="2"/>
  <c r="I193" i="2"/>
  <c r="F193" i="2"/>
  <c r="E193" i="2"/>
  <c r="B194" i="2"/>
  <c r="B195" i="2" s="1"/>
  <c r="B196" i="2" s="1"/>
  <c r="B197" i="2" s="1"/>
  <c r="B198" i="2" s="1"/>
  <c r="B199" i="2" s="1"/>
  <c r="B200" i="2" s="1"/>
  <c r="B201" i="2" s="1"/>
  <c r="B202" i="2" s="1"/>
  <c r="B203" i="2" s="1"/>
  <c r="P192" i="2"/>
  <c r="P206" i="2" s="1"/>
  <c r="D181" i="2"/>
  <c r="K179" i="2"/>
  <c r="J179" i="2"/>
  <c r="I179" i="2"/>
  <c r="M178" i="2"/>
  <c r="K178" i="2"/>
  <c r="J178" i="2"/>
  <c r="I178" i="2"/>
  <c r="H178" i="2"/>
  <c r="M177" i="2"/>
  <c r="K177" i="2"/>
  <c r="J177" i="2"/>
  <c r="I177" i="2"/>
  <c r="H177" i="2"/>
  <c r="M176" i="2"/>
  <c r="K176" i="2"/>
  <c r="J176" i="2"/>
  <c r="I176" i="2"/>
  <c r="H176" i="2"/>
  <c r="M175" i="2"/>
  <c r="K175" i="2"/>
  <c r="J175" i="2"/>
  <c r="I175" i="2"/>
  <c r="H175" i="2"/>
  <c r="M174" i="2"/>
  <c r="K174" i="2"/>
  <c r="J174" i="2"/>
  <c r="I174" i="2"/>
  <c r="H174" i="2"/>
  <c r="M173" i="2"/>
  <c r="K173" i="2"/>
  <c r="J173" i="2"/>
  <c r="I173" i="2"/>
  <c r="H173" i="2"/>
  <c r="M172" i="2"/>
  <c r="K172" i="2"/>
  <c r="J172" i="2"/>
  <c r="I172" i="2"/>
  <c r="F172" i="2"/>
  <c r="H172" i="2" s="1"/>
  <c r="M171" i="2"/>
  <c r="K171" i="2"/>
  <c r="J171" i="2"/>
  <c r="I171" i="2"/>
  <c r="F171" i="2"/>
  <c r="H171" i="2" s="1"/>
  <c r="E171" i="2"/>
  <c r="M170" i="2"/>
  <c r="K170" i="2"/>
  <c r="J170" i="2"/>
  <c r="I170" i="2"/>
  <c r="F170" i="2"/>
  <c r="H170" i="2" s="1"/>
  <c r="E170" i="2"/>
  <c r="M169" i="2"/>
  <c r="K169" i="2"/>
  <c r="J169" i="2"/>
  <c r="I169" i="2"/>
  <c r="F169" i="2"/>
  <c r="H169" i="2" s="1"/>
  <c r="E169" i="2"/>
  <c r="M168" i="2"/>
  <c r="K168" i="2"/>
  <c r="J168" i="2"/>
  <c r="I168" i="2"/>
  <c r="F168" i="2"/>
  <c r="H168" i="2" s="1"/>
  <c r="E168" i="2"/>
  <c r="U167" i="2"/>
  <c r="M167" i="2"/>
  <c r="K167" i="2"/>
  <c r="J167" i="2"/>
  <c r="I167" i="2"/>
  <c r="F167" i="2"/>
  <c r="E167" i="2"/>
  <c r="B167" i="2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P166" i="2"/>
  <c r="P180" i="2" s="1"/>
  <c r="D155" i="2"/>
  <c r="K153" i="2"/>
  <c r="J153" i="2"/>
  <c r="I153" i="2"/>
  <c r="M152" i="2"/>
  <c r="K152" i="2"/>
  <c r="J152" i="2"/>
  <c r="I152" i="2"/>
  <c r="H152" i="2"/>
  <c r="M151" i="2"/>
  <c r="K151" i="2"/>
  <c r="J151" i="2"/>
  <c r="I151" i="2"/>
  <c r="H151" i="2"/>
  <c r="M150" i="2"/>
  <c r="K150" i="2"/>
  <c r="J150" i="2"/>
  <c r="I150" i="2"/>
  <c r="H150" i="2"/>
  <c r="M149" i="2"/>
  <c r="K149" i="2"/>
  <c r="J149" i="2"/>
  <c r="I149" i="2"/>
  <c r="H149" i="2"/>
  <c r="M148" i="2"/>
  <c r="K148" i="2"/>
  <c r="J148" i="2"/>
  <c r="I148" i="2"/>
  <c r="H148" i="2"/>
  <c r="M147" i="2"/>
  <c r="K147" i="2"/>
  <c r="J147" i="2"/>
  <c r="I147" i="2"/>
  <c r="H147" i="2"/>
  <c r="A147" i="2"/>
  <c r="M146" i="2"/>
  <c r="K146" i="2"/>
  <c r="J146" i="2"/>
  <c r="I146" i="2"/>
  <c r="F146" i="2"/>
  <c r="H146" i="2" s="1"/>
  <c r="M145" i="2"/>
  <c r="K145" i="2"/>
  <c r="J145" i="2"/>
  <c r="I145" i="2"/>
  <c r="F145" i="2"/>
  <c r="H145" i="2" s="1"/>
  <c r="E145" i="2"/>
  <c r="M144" i="2"/>
  <c r="K144" i="2"/>
  <c r="J144" i="2"/>
  <c r="I144" i="2"/>
  <c r="F144" i="2"/>
  <c r="E144" i="2"/>
  <c r="M143" i="2"/>
  <c r="K143" i="2"/>
  <c r="J143" i="2"/>
  <c r="I143" i="2"/>
  <c r="F143" i="2"/>
  <c r="H143" i="2" s="1"/>
  <c r="E143" i="2"/>
  <c r="M142" i="2"/>
  <c r="K142" i="2"/>
  <c r="J142" i="2"/>
  <c r="I142" i="2"/>
  <c r="F142" i="2"/>
  <c r="H142" i="2" s="1"/>
  <c r="E142" i="2"/>
  <c r="U141" i="2"/>
  <c r="M141" i="2"/>
  <c r="K141" i="2"/>
  <c r="J141" i="2"/>
  <c r="I141" i="2"/>
  <c r="F141" i="2"/>
  <c r="E141" i="2"/>
  <c r="B141" i="2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P140" i="2"/>
  <c r="P154" i="2" s="1"/>
  <c r="D129" i="2"/>
  <c r="K127" i="2"/>
  <c r="J127" i="2"/>
  <c r="I127" i="2"/>
  <c r="M126" i="2"/>
  <c r="K126" i="2"/>
  <c r="J126" i="2"/>
  <c r="I126" i="2"/>
  <c r="H126" i="2"/>
  <c r="M125" i="2"/>
  <c r="K125" i="2"/>
  <c r="J125" i="2"/>
  <c r="I125" i="2"/>
  <c r="H125" i="2"/>
  <c r="M124" i="2"/>
  <c r="K124" i="2"/>
  <c r="J124" i="2"/>
  <c r="I124" i="2"/>
  <c r="H124" i="2"/>
  <c r="M123" i="2"/>
  <c r="K123" i="2"/>
  <c r="J123" i="2"/>
  <c r="I123" i="2"/>
  <c r="H123" i="2"/>
  <c r="M122" i="2"/>
  <c r="K122" i="2"/>
  <c r="J122" i="2"/>
  <c r="I122" i="2"/>
  <c r="H122" i="2"/>
  <c r="M121" i="2"/>
  <c r="K121" i="2"/>
  <c r="J121" i="2"/>
  <c r="I121" i="2"/>
  <c r="H121" i="2"/>
  <c r="A121" i="2"/>
  <c r="M120" i="2"/>
  <c r="K120" i="2"/>
  <c r="J120" i="2"/>
  <c r="I120" i="2"/>
  <c r="F120" i="2"/>
  <c r="H120" i="2" s="1"/>
  <c r="M119" i="2"/>
  <c r="K119" i="2"/>
  <c r="J119" i="2"/>
  <c r="I119" i="2"/>
  <c r="F119" i="2"/>
  <c r="H119" i="2" s="1"/>
  <c r="E119" i="2"/>
  <c r="M118" i="2"/>
  <c r="K118" i="2"/>
  <c r="J118" i="2"/>
  <c r="I118" i="2"/>
  <c r="F118" i="2"/>
  <c r="H118" i="2" s="1"/>
  <c r="E118" i="2"/>
  <c r="M117" i="2"/>
  <c r="K117" i="2"/>
  <c r="J117" i="2"/>
  <c r="I117" i="2"/>
  <c r="F117" i="2"/>
  <c r="H117" i="2" s="1"/>
  <c r="E117" i="2"/>
  <c r="M116" i="2"/>
  <c r="K116" i="2"/>
  <c r="J116" i="2"/>
  <c r="I116" i="2"/>
  <c r="F116" i="2"/>
  <c r="H116" i="2" s="1"/>
  <c r="E116" i="2"/>
  <c r="U115" i="2"/>
  <c r="M115" i="2"/>
  <c r="K115" i="2"/>
  <c r="J115" i="2"/>
  <c r="I115" i="2"/>
  <c r="F115" i="2"/>
  <c r="E115" i="2"/>
  <c r="B115" i="2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P114" i="2"/>
  <c r="P128" i="2" s="1"/>
  <c r="O109" i="2"/>
  <c r="D103" i="2"/>
  <c r="Q104" i="2" s="1"/>
  <c r="K101" i="2"/>
  <c r="J101" i="2"/>
  <c r="I101" i="2"/>
  <c r="M100" i="2"/>
  <c r="K100" i="2"/>
  <c r="J100" i="2"/>
  <c r="I100" i="2"/>
  <c r="H100" i="2"/>
  <c r="M99" i="2"/>
  <c r="K99" i="2"/>
  <c r="J99" i="2"/>
  <c r="I99" i="2"/>
  <c r="H99" i="2"/>
  <c r="M98" i="2"/>
  <c r="K98" i="2"/>
  <c r="J98" i="2"/>
  <c r="I98" i="2"/>
  <c r="H98" i="2"/>
  <c r="M97" i="2"/>
  <c r="K97" i="2"/>
  <c r="J97" i="2"/>
  <c r="I97" i="2"/>
  <c r="H97" i="2"/>
  <c r="M96" i="2"/>
  <c r="K96" i="2"/>
  <c r="J96" i="2"/>
  <c r="I96" i="2"/>
  <c r="H96" i="2"/>
  <c r="M95" i="2"/>
  <c r="K95" i="2"/>
  <c r="J95" i="2"/>
  <c r="I95" i="2"/>
  <c r="H95" i="2"/>
  <c r="A95" i="2"/>
  <c r="M94" i="2"/>
  <c r="K94" i="2"/>
  <c r="J94" i="2"/>
  <c r="I94" i="2"/>
  <c r="F94" i="2"/>
  <c r="H94" i="2" s="1"/>
  <c r="M93" i="2"/>
  <c r="K93" i="2"/>
  <c r="J93" i="2"/>
  <c r="I93" i="2"/>
  <c r="F93" i="2"/>
  <c r="H93" i="2" s="1"/>
  <c r="E93" i="2"/>
  <c r="M92" i="2"/>
  <c r="K92" i="2"/>
  <c r="J92" i="2"/>
  <c r="I92" i="2"/>
  <c r="F92" i="2"/>
  <c r="H92" i="2" s="1"/>
  <c r="E92" i="2"/>
  <c r="M91" i="2"/>
  <c r="K91" i="2"/>
  <c r="J91" i="2"/>
  <c r="I91" i="2"/>
  <c r="F91" i="2"/>
  <c r="H91" i="2" s="1"/>
  <c r="E91" i="2"/>
  <c r="M90" i="2"/>
  <c r="K90" i="2"/>
  <c r="J90" i="2"/>
  <c r="I90" i="2"/>
  <c r="F90" i="2"/>
  <c r="H90" i="2" s="1"/>
  <c r="E90" i="2"/>
  <c r="U89" i="2"/>
  <c r="M89" i="2"/>
  <c r="K89" i="2"/>
  <c r="J89" i="2"/>
  <c r="I89" i="2"/>
  <c r="F89" i="2"/>
  <c r="E89" i="2"/>
  <c r="B89" i="2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P88" i="2"/>
  <c r="P102" i="2" s="1"/>
  <c r="D77" i="2"/>
  <c r="K75" i="2"/>
  <c r="J75" i="2"/>
  <c r="I75" i="2"/>
  <c r="M74" i="2"/>
  <c r="K74" i="2"/>
  <c r="J74" i="2"/>
  <c r="I74" i="2"/>
  <c r="H74" i="2"/>
  <c r="M73" i="2"/>
  <c r="K73" i="2"/>
  <c r="J73" i="2"/>
  <c r="I73" i="2"/>
  <c r="H73" i="2"/>
  <c r="M72" i="2"/>
  <c r="K72" i="2"/>
  <c r="J72" i="2"/>
  <c r="I72" i="2"/>
  <c r="H72" i="2"/>
  <c r="M71" i="2"/>
  <c r="K71" i="2"/>
  <c r="J71" i="2"/>
  <c r="I71" i="2"/>
  <c r="H71" i="2"/>
  <c r="M70" i="2"/>
  <c r="K70" i="2"/>
  <c r="J70" i="2"/>
  <c r="I70" i="2"/>
  <c r="H70" i="2"/>
  <c r="M69" i="2"/>
  <c r="K69" i="2"/>
  <c r="J69" i="2"/>
  <c r="I69" i="2"/>
  <c r="H69" i="2"/>
  <c r="A69" i="2"/>
  <c r="M68" i="2"/>
  <c r="K68" i="2"/>
  <c r="J68" i="2"/>
  <c r="I68" i="2"/>
  <c r="F68" i="2"/>
  <c r="H68" i="2" s="1"/>
  <c r="M67" i="2"/>
  <c r="K67" i="2"/>
  <c r="J67" i="2"/>
  <c r="I67" i="2"/>
  <c r="F67" i="2"/>
  <c r="H67" i="2" s="1"/>
  <c r="E67" i="2"/>
  <c r="M66" i="2"/>
  <c r="K66" i="2"/>
  <c r="J66" i="2"/>
  <c r="I66" i="2"/>
  <c r="F66" i="2"/>
  <c r="H66" i="2" s="1"/>
  <c r="E66" i="2"/>
  <c r="M65" i="2"/>
  <c r="K65" i="2"/>
  <c r="J65" i="2"/>
  <c r="I65" i="2"/>
  <c r="F65" i="2"/>
  <c r="H65" i="2" s="1"/>
  <c r="E65" i="2"/>
  <c r="M64" i="2"/>
  <c r="K64" i="2"/>
  <c r="J64" i="2"/>
  <c r="I64" i="2"/>
  <c r="F64" i="2"/>
  <c r="H64" i="2" s="1"/>
  <c r="E64" i="2"/>
  <c r="U63" i="2"/>
  <c r="M63" i="2"/>
  <c r="K63" i="2"/>
  <c r="J63" i="2"/>
  <c r="I63" i="2"/>
  <c r="F63" i="2"/>
  <c r="E63" i="2"/>
  <c r="B63" i="2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P62" i="2"/>
  <c r="P76" i="2" s="1"/>
  <c r="U37" i="2"/>
  <c r="D51" i="2"/>
  <c r="K49" i="2"/>
  <c r="J49" i="2"/>
  <c r="I49" i="2"/>
  <c r="M48" i="2"/>
  <c r="K48" i="2"/>
  <c r="J48" i="2"/>
  <c r="I48" i="2"/>
  <c r="H48" i="2"/>
  <c r="M47" i="2"/>
  <c r="K47" i="2"/>
  <c r="J47" i="2"/>
  <c r="I47" i="2"/>
  <c r="H47" i="2"/>
  <c r="M46" i="2"/>
  <c r="K46" i="2"/>
  <c r="J46" i="2"/>
  <c r="I46" i="2"/>
  <c r="H46" i="2"/>
  <c r="M45" i="2"/>
  <c r="K45" i="2"/>
  <c r="J45" i="2"/>
  <c r="I45" i="2"/>
  <c r="H45" i="2"/>
  <c r="M44" i="2"/>
  <c r="K44" i="2"/>
  <c r="J44" i="2"/>
  <c r="I44" i="2"/>
  <c r="H44" i="2"/>
  <c r="M43" i="2"/>
  <c r="K43" i="2"/>
  <c r="J43" i="2"/>
  <c r="I43" i="2"/>
  <c r="H43" i="2"/>
  <c r="A43" i="2"/>
  <c r="M42" i="2"/>
  <c r="K42" i="2"/>
  <c r="J42" i="2"/>
  <c r="I42" i="2"/>
  <c r="F42" i="2"/>
  <c r="H42" i="2" s="1"/>
  <c r="M41" i="2"/>
  <c r="K41" i="2"/>
  <c r="J41" i="2"/>
  <c r="I41" i="2"/>
  <c r="E41" i="2"/>
  <c r="M40" i="2"/>
  <c r="K40" i="2"/>
  <c r="J40" i="2"/>
  <c r="I40" i="2"/>
  <c r="F40" i="2"/>
  <c r="E40" i="2"/>
  <c r="M39" i="2"/>
  <c r="K39" i="2"/>
  <c r="J39" i="2"/>
  <c r="I39" i="2"/>
  <c r="F39" i="2"/>
  <c r="H39" i="2" s="1"/>
  <c r="E39" i="2"/>
  <c r="M38" i="2"/>
  <c r="K38" i="2"/>
  <c r="J38" i="2"/>
  <c r="I38" i="2"/>
  <c r="F38" i="2"/>
  <c r="H38" i="2" s="1"/>
  <c r="E38" i="2"/>
  <c r="M37" i="2"/>
  <c r="K37" i="2"/>
  <c r="J37" i="2"/>
  <c r="I37" i="2"/>
  <c r="F37" i="2"/>
  <c r="E37" i="2"/>
  <c r="B37" i="2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P36" i="2"/>
  <c r="P50" i="2" s="1"/>
  <c r="A17" i="2"/>
  <c r="P10" i="2"/>
  <c r="E15" i="2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E13" i="2"/>
  <c r="E12" i="2"/>
  <c r="E11" i="2"/>
  <c r="U11" i="2"/>
  <c r="O161" i="2"/>
  <c r="H40" i="2" l="1"/>
  <c r="F53" i="2"/>
  <c r="O185" i="2"/>
  <c r="Q185" i="2" s="1"/>
  <c r="O186" i="2"/>
  <c r="Q186" i="2" s="1"/>
  <c r="Q187" i="2"/>
  <c r="O159" i="2"/>
  <c r="Q159" i="2" s="1"/>
  <c r="H41" i="2"/>
  <c r="F51" i="2"/>
  <c r="Q51" i="2" s="1"/>
  <c r="O51" i="2" s="1"/>
  <c r="H219" i="2"/>
  <c r="L224" i="2"/>
  <c r="Q224" i="2" s="1"/>
  <c r="O224" i="2" s="1"/>
  <c r="F77" i="2"/>
  <c r="Q77" i="2" s="1"/>
  <c r="O77" i="2" s="1"/>
  <c r="L63" i="2"/>
  <c r="Q63" i="2" s="1"/>
  <c r="R63" i="2" s="1"/>
  <c r="H63" i="2"/>
  <c r="L143" i="2"/>
  <c r="Q143" i="2" s="1"/>
  <c r="O143" i="2" s="1"/>
  <c r="L148" i="2"/>
  <c r="Q148" i="2" s="1"/>
  <c r="R148" i="2" s="1"/>
  <c r="F105" i="2"/>
  <c r="L90" i="2"/>
  <c r="Q90" i="2" s="1"/>
  <c r="R90" i="2" s="1"/>
  <c r="L142" i="2"/>
  <c r="Q142" i="2" s="1"/>
  <c r="F235" i="2"/>
  <c r="Q219" i="2"/>
  <c r="O219" i="2" s="1"/>
  <c r="H220" i="2"/>
  <c r="L220" i="2"/>
  <c r="Q220" i="2" s="1"/>
  <c r="L221" i="2"/>
  <c r="Q221" i="2" s="1"/>
  <c r="L222" i="2"/>
  <c r="Q222" i="2" s="1"/>
  <c r="L223" i="2"/>
  <c r="Q223" i="2" s="1"/>
  <c r="L226" i="2"/>
  <c r="Q226" i="2" s="1"/>
  <c r="L228" i="2"/>
  <c r="Q228" i="2" s="1"/>
  <c r="L230" i="2"/>
  <c r="Q230" i="2" s="1"/>
  <c r="F233" i="2"/>
  <c r="Q233" i="2" s="1"/>
  <c r="L225" i="2"/>
  <c r="Q225" i="2" s="1"/>
  <c r="L227" i="2"/>
  <c r="Q227" i="2" s="1"/>
  <c r="L229" i="2"/>
  <c r="Q229" i="2" s="1"/>
  <c r="F207" i="2"/>
  <c r="Q207" i="2" s="1"/>
  <c r="S207" i="2" s="1"/>
  <c r="L199" i="2"/>
  <c r="Q199" i="2" s="1"/>
  <c r="F209" i="2"/>
  <c r="H193" i="2"/>
  <c r="L193" i="2"/>
  <c r="Q193" i="2" s="1"/>
  <c r="L198" i="2"/>
  <c r="Q198" i="2" s="1"/>
  <c r="L204" i="2"/>
  <c r="Q204" i="2" s="1"/>
  <c r="L194" i="2"/>
  <c r="Q194" i="2" s="1"/>
  <c r="L195" i="2"/>
  <c r="Q195" i="2" s="1"/>
  <c r="L196" i="2"/>
  <c r="Q196" i="2" s="1"/>
  <c r="L197" i="2"/>
  <c r="Q197" i="2" s="1"/>
  <c r="L200" i="2"/>
  <c r="Q200" i="2" s="1"/>
  <c r="L202" i="2"/>
  <c r="Q202" i="2" s="1"/>
  <c r="L201" i="2"/>
  <c r="Q201" i="2" s="1"/>
  <c r="L203" i="2"/>
  <c r="Q203" i="2" s="1"/>
  <c r="F181" i="2"/>
  <c r="L175" i="2"/>
  <c r="Q175" i="2" s="1"/>
  <c r="F183" i="2"/>
  <c r="H167" i="2"/>
  <c r="L167" i="2"/>
  <c r="Q167" i="2" s="1"/>
  <c r="L172" i="2"/>
  <c r="Q172" i="2" s="1"/>
  <c r="L178" i="2"/>
  <c r="Q178" i="2" s="1"/>
  <c r="L173" i="2"/>
  <c r="Q173" i="2" s="1"/>
  <c r="L177" i="2"/>
  <c r="Q177" i="2" s="1"/>
  <c r="L168" i="2"/>
  <c r="Q168" i="2" s="1"/>
  <c r="L169" i="2"/>
  <c r="Q169" i="2" s="1"/>
  <c r="L170" i="2"/>
  <c r="Q170" i="2" s="1"/>
  <c r="L171" i="2"/>
  <c r="Q171" i="2" s="1"/>
  <c r="L174" i="2"/>
  <c r="Q174" i="2" s="1"/>
  <c r="L176" i="2"/>
  <c r="Q176" i="2" s="1"/>
  <c r="L152" i="2"/>
  <c r="Q152" i="2" s="1"/>
  <c r="R152" i="2" s="1"/>
  <c r="H144" i="2"/>
  <c r="L144" i="2"/>
  <c r="Q144" i="2" s="1"/>
  <c r="L145" i="2"/>
  <c r="Q145" i="2" s="1"/>
  <c r="L150" i="2"/>
  <c r="Q150" i="2" s="1"/>
  <c r="R150" i="2" s="1"/>
  <c r="F155" i="2"/>
  <c r="Q155" i="2" s="1"/>
  <c r="O155" i="2" s="1"/>
  <c r="L147" i="2"/>
  <c r="Q147" i="2" s="1"/>
  <c r="L149" i="2"/>
  <c r="Q149" i="2" s="1"/>
  <c r="L151" i="2"/>
  <c r="Q151" i="2" s="1"/>
  <c r="H141" i="2"/>
  <c r="L141" i="2"/>
  <c r="Q141" i="2" s="1"/>
  <c r="L146" i="2"/>
  <c r="Q146" i="2" s="1"/>
  <c r="F129" i="2"/>
  <c r="Q129" i="2" s="1"/>
  <c r="S129" i="2" s="1"/>
  <c r="L121" i="2"/>
  <c r="Q121" i="2" s="1"/>
  <c r="H115" i="2"/>
  <c r="L115" i="2"/>
  <c r="Q115" i="2" s="1"/>
  <c r="L120" i="2"/>
  <c r="Q120" i="2" s="1"/>
  <c r="L126" i="2"/>
  <c r="Q126" i="2" s="1"/>
  <c r="L116" i="2"/>
  <c r="Q116" i="2" s="1"/>
  <c r="L117" i="2"/>
  <c r="Q117" i="2" s="1"/>
  <c r="L118" i="2"/>
  <c r="Q118" i="2" s="1"/>
  <c r="L119" i="2"/>
  <c r="Q119" i="2" s="1"/>
  <c r="L122" i="2"/>
  <c r="Q122" i="2" s="1"/>
  <c r="L124" i="2"/>
  <c r="Q124" i="2" s="1"/>
  <c r="L123" i="2"/>
  <c r="Q123" i="2" s="1"/>
  <c r="L125" i="2"/>
  <c r="Q125" i="2" s="1"/>
  <c r="O108" i="2"/>
  <c r="Q108" i="2" s="1"/>
  <c r="Q109" i="2"/>
  <c r="F103" i="2"/>
  <c r="Q103" i="2" s="1"/>
  <c r="O107" i="2"/>
  <c r="Q107" i="2" s="1"/>
  <c r="L95" i="2"/>
  <c r="Q95" i="2" s="1"/>
  <c r="L97" i="2"/>
  <c r="Q97" i="2" s="1"/>
  <c r="L99" i="2"/>
  <c r="Q99" i="2" s="1"/>
  <c r="H89" i="2"/>
  <c r="L89" i="2"/>
  <c r="Q89" i="2" s="1"/>
  <c r="L94" i="2"/>
  <c r="Q94" i="2" s="1"/>
  <c r="L100" i="2"/>
  <c r="Q100" i="2" s="1"/>
  <c r="L91" i="2"/>
  <c r="Q91" i="2" s="1"/>
  <c r="L92" i="2"/>
  <c r="Q92" i="2" s="1"/>
  <c r="L93" i="2"/>
  <c r="Q93" i="2" s="1"/>
  <c r="L96" i="2"/>
  <c r="Q96" i="2" s="1"/>
  <c r="L98" i="2"/>
  <c r="Q98" i="2" s="1"/>
  <c r="L69" i="2"/>
  <c r="Q69" i="2" s="1"/>
  <c r="L73" i="2"/>
  <c r="Q73" i="2" s="1"/>
  <c r="L70" i="2"/>
  <c r="Q70" i="2" s="1"/>
  <c r="L74" i="2"/>
  <c r="Q74" i="2" s="1"/>
  <c r="L68" i="2"/>
  <c r="Q68" i="2" s="1"/>
  <c r="L71" i="2"/>
  <c r="Q71" i="2" s="1"/>
  <c r="L64" i="2"/>
  <c r="Q64" i="2" s="1"/>
  <c r="L65" i="2"/>
  <c r="Q65" i="2" s="1"/>
  <c r="L66" i="2"/>
  <c r="Q66" i="2" s="1"/>
  <c r="L67" i="2"/>
  <c r="Q67" i="2" s="1"/>
  <c r="L72" i="2"/>
  <c r="Q72" i="2" s="1"/>
  <c r="L43" i="2"/>
  <c r="Q43" i="2" s="1"/>
  <c r="L47" i="2"/>
  <c r="Q47" i="2" s="1"/>
  <c r="L44" i="2"/>
  <c r="Q44" i="2" s="1"/>
  <c r="L48" i="2"/>
  <c r="Q48" i="2" s="1"/>
  <c r="L42" i="2"/>
  <c r="Q42" i="2" s="1"/>
  <c r="L45" i="2"/>
  <c r="Q45" i="2" s="1"/>
  <c r="H37" i="2"/>
  <c r="L37" i="2"/>
  <c r="Q37" i="2" s="1"/>
  <c r="L38" i="2"/>
  <c r="Q38" i="2" s="1"/>
  <c r="L39" i="2"/>
  <c r="Q39" i="2" s="1"/>
  <c r="L40" i="2"/>
  <c r="Q40" i="2" s="1"/>
  <c r="L41" i="2"/>
  <c r="Q41" i="2" s="1"/>
  <c r="L46" i="2"/>
  <c r="Q46" i="2" s="1"/>
  <c r="O160" i="2"/>
  <c r="Q160" i="2" s="1"/>
  <c r="Q161" i="2"/>
  <c r="F157" i="2"/>
  <c r="D25" i="2"/>
  <c r="O239" i="2"/>
  <c r="O213" i="2"/>
  <c r="O135" i="2"/>
  <c r="O83" i="2"/>
  <c r="O57" i="2"/>
  <c r="M11" i="2"/>
  <c r="M12" i="2"/>
  <c r="M14" i="2"/>
  <c r="M13" i="2"/>
  <c r="M22" i="2"/>
  <c r="M21" i="2"/>
  <c r="M20" i="2"/>
  <c r="M19" i="2"/>
  <c r="M18" i="2"/>
  <c r="M17" i="2"/>
  <c r="M16" i="2"/>
  <c r="M15" i="2"/>
  <c r="I12" i="2"/>
  <c r="I13" i="2"/>
  <c r="I14" i="2"/>
  <c r="I15" i="2"/>
  <c r="I16" i="2"/>
  <c r="I17" i="2"/>
  <c r="I18" i="2"/>
  <c r="I19" i="2"/>
  <c r="I20" i="2"/>
  <c r="I21" i="2"/>
  <c r="I22" i="2"/>
  <c r="I23" i="2"/>
  <c r="I11" i="2"/>
  <c r="H17" i="2"/>
  <c r="H18" i="2"/>
  <c r="H19" i="2"/>
  <c r="H20" i="2"/>
  <c r="H21" i="2"/>
  <c r="H22" i="2"/>
  <c r="J22" i="2"/>
  <c r="K22" i="2"/>
  <c r="O31" i="2"/>
  <c r="K11" i="2"/>
  <c r="K12" i="2"/>
  <c r="K13" i="2"/>
  <c r="K14" i="2"/>
  <c r="K15" i="2"/>
  <c r="K16" i="2"/>
  <c r="K17" i="2"/>
  <c r="K18" i="2"/>
  <c r="K19" i="2"/>
  <c r="K20" i="2"/>
  <c r="K21" i="2"/>
  <c r="K23" i="2"/>
  <c r="J12" i="2"/>
  <c r="J13" i="2"/>
  <c r="J14" i="2"/>
  <c r="J15" i="2"/>
  <c r="J16" i="2"/>
  <c r="J17" i="2"/>
  <c r="J18" i="2"/>
  <c r="J19" i="2"/>
  <c r="J20" i="2"/>
  <c r="J21" i="2"/>
  <c r="J23" i="2"/>
  <c r="J11" i="2"/>
  <c r="L11" i="2"/>
  <c r="Q11" i="2" s="1"/>
  <c r="O11" i="2" s="1"/>
  <c r="F12" i="2"/>
  <c r="H12" i="2" s="1"/>
  <c r="F13" i="2"/>
  <c r="H13" i="2" s="1"/>
  <c r="F14" i="2"/>
  <c r="H14" i="2" s="1"/>
  <c r="F15" i="2"/>
  <c r="H15" i="2" s="1"/>
  <c r="F16" i="2"/>
  <c r="H16" i="2" s="1"/>
  <c r="P24" i="2"/>
  <c r="Q181" i="2" l="1"/>
  <c r="S181" i="2" s="1"/>
  <c r="R185" i="2"/>
  <c r="S185" i="2"/>
  <c r="R187" i="2"/>
  <c r="S187" i="2"/>
  <c r="S186" i="2"/>
  <c r="R186" i="2"/>
  <c r="O90" i="2"/>
  <c r="O63" i="2"/>
  <c r="R219" i="2"/>
  <c r="R77" i="2"/>
  <c r="S77" i="2"/>
  <c r="R143" i="2"/>
  <c r="O148" i="2"/>
  <c r="R142" i="2"/>
  <c r="O142" i="2"/>
  <c r="R207" i="2"/>
  <c r="O129" i="2"/>
  <c r="O152" i="2"/>
  <c r="R224" i="2"/>
  <c r="R227" i="2"/>
  <c r="O227" i="2"/>
  <c r="O228" i="2"/>
  <c r="R228" i="2"/>
  <c r="O221" i="2"/>
  <c r="R221" i="2"/>
  <c r="R230" i="2"/>
  <c r="O230" i="2"/>
  <c r="R225" i="2"/>
  <c r="O225" i="2"/>
  <c r="O226" i="2"/>
  <c r="R226" i="2"/>
  <c r="O220" i="2"/>
  <c r="R220" i="2"/>
  <c r="R229" i="2"/>
  <c r="O229" i="2"/>
  <c r="O222" i="2"/>
  <c r="R222" i="2"/>
  <c r="O233" i="2"/>
  <c r="S233" i="2"/>
  <c r="R233" i="2"/>
  <c r="O223" i="2"/>
  <c r="R223" i="2"/>
  <c r="O207" i="2"/>
  <c r="O199" i="2"/>
  <c r="R199" i="2"/>
  <c r="O202" i="2"/>
  <c r="R202" i="2"/>
  <c r="R195" i="2"/>
  <c r="O195" i="2"/>
  <c r="O193" i="2"/>
  <c r="R193" i="2"/>
  <c r="O198" i="2"/>
  <c r="R198" i="2"/>
  <c r="O200" i="2"/>
  <c r="R200" i="2"/>
  <c r="R194" i="2"/>
  <c r="O194" i="2"/>
  <c r="O201" i="2"/>
  <c r="R201" i="2"/>
  <c r="R196" i="2"/>
  <c r="O196" i="2"/>
  <c r="R203" i="2"/>
  <c r="O203" i="2"/>
  <c r="O197" i="2"/>
  <c r="R197" i="2"/>
  <c r="O204" i="2"/>
  <c r="R204" i="2"/>
  <c r="O175" i="2"/>
  <c r="R175" i="2"/>
  <c r="O171" i="2"/>
  <c r="R171" i="2"/>
  <c r="O177" i="2"/>
  <c r="R177" i="2"/>
  <c r="O167" i="2"/>
  <c r="R167" i="2"/>
  <c r="O172" i="2"/>
  <c r="R172" i="2"/>
  <c r="O170" i="2"/>
  <c r="R170" i="2"/>
  <c r="O173" i="2"/>
  <c r="R173" i="2"/>
  <c r="R174" i="2"/>
  <c r="O174" i="2"/>
  <c r="O168" i="2"/>
  <c r="R168" i="2"/>
  <c r="R176" i="2"/>
  <c r="O176" i="2"/>
  <c r="R169" i="2"/>
  <c r="O169" i="2"/>
  <c r="O178" i="2"/>
  <c r="R178" i="2"/>
  <c r="O150" i="2"/>
  <c r="O145" i="2"/>
  <c r="R145" i="2"/>
  <c r="O144" i="2"/>
  <c r="R144" i="2"/>
  <c r="S155" i="2"/>
  <c r="R155" i="2"/>
  <c r="O151" i="2"/>
  <c r="R151" i="2"/>
  <c r="R146" i="2"/>
  <c r="O146" i="2"/>
  <c r="O149" i="2"/>
  <c r="R149" i="2"/>
  <c r="O141" i="2"/>
  <c r="R141" i="2"/>
  <c r="O147" i="2"/>
  <c r="R147" i="2"/>
  <c r="R129" i="2"/>
  <c r="O125" i="2"/>
  <c r="R125" i="2"/>
  <c r="O121" i="2"/>
  <c r="R121" i="2"/>
  <c r="R123" i="2"/>
  <c r="O123" i="2"/>
  <c r="R118" i="2"/>
  <c r="O118" i="2"/>
  <c r="O120" i="2"/>
  <c r="R120" i="2"/>
  <c r="R119" i="2"/>
  <c r="O119" i="2"/>
  <c r="O124" i="2"/>
  <c r="R124" i="2"/>
  <c r="O117" i="2"/>
  <c r="R117" i="2"/>
  <c r="O115" i="2"/>
  <c r="R115" i="2"/>
  <c r="O126" i="2"/>
  <c r="R126" i="2"/>
  <c r="R122" i="2"/>
  <c r="O122" i="2"/>
  <c r="R116" i="2"/>
  <c r="O116" i="2"/>
  <c r="R96" i="2"/>
  <c r="O96" i="2"/>
  <c r="R100" i="2"/>
  <c r="O100" i="2"/>
  <c r="O99" i="2"/>
  <c r="R99" i="2"/>
  <c r="R103" i="2"/>
  <c r="O103" i="2"/>
  <c r="S103" i="2"/>
  <c r="R108" i="2"/>
  <c r="R93" i="2"/>
  <c r="O93" i="2"/>
  <c r="R94" i="2"/>
  <c r="O94" i="2"/>
  <c r="O97" i="2"/>
  <c r="R97" i="2"/>
  <c r="R104" i="2"/>
  <c r="S108" i="2"/>
  <c r="R92" i="2"/>
  <c r="O92" i="2"/>
  <c r="R89" i="2"/>
  <c r="O89" i="2"/>
  <c r="O95" i="2"/>
  <c r="R95" i="2"/>
  <c r="R109" i="2"/>
  <c r="R98" i="2"/>
  <c r="O98" i="2"/>
  <c r="R91" i="2"/>
  <c r="O91" i="2"/>
  <c r="S107" i="2"/>
  <c r="R107" i="2"/>
  <c r="S109" i="2"/>
  <c r="R72" i="2"/>
  <c r="O72" i="2"/>
  <c r="R64" i="2"/>
  <c r="O64" i="2"/>
  <c r="O70" i="2"/>
  <c r="R70" i="2"/>
  <c r="R67" i="2"/>
  <c r="O67" i="2"/>
  <c r="R71" i="2"/>
  <c r="O71" i="2"/>
  <c r="O73" i="2"/>
  <c r="R73" i="2"/>
  <c r="R66" i="2"/>
  <c r="O66" i="2"/>
  <c r="R68" i="2"/>
  <c r="O68" i="2"/>
  <c r="O69" i="2"/>
  <c r="R69" i="2"/>
  <c r="R65" i="2"/>
  <c r="O65" i="2"/>
  <c r="O74" i="2"/>
  <c r="R74" i="2"/>
  <c r="R51" i="2"/>
  <c r="S51" i="2"/>
  <c r="R46" i="2"/>
  <c r="O46" i="2"/>
  <c r="R38" i="2"/>
  <c r="O38" i="2"/>
  <c r="R42" i="2"/>
  <c r="O42" i="2"/>
  <c r="O43" i="2"/>
  <c r="R43" i="2"/>
  <c r="R41" i="2"/>
  <c r="O41" i="2"/>
  <c r="R37" i="2"/>
  <c r="O37" i="2"/>
  <c r="O48" i="2"/>
  <c r="R48" i="2"/>
  <c r="R40" i="2"/>
  <c r="O40" i="2"/>
  <c r="O44" i="2"/>
  <c r="R44" i="2"/>
  <c r="R39" i="2"/>
  <c r="O39" i="2"/>
  <c r="R45" i="2"/>
  <c r="O45" i="2"/>
  <c r="O47" i="2"/>
  <c r="R47" i="2"/>
  <c r="S160" i="2"/>
  <c r="R160" i="2"/>
  <c r="S161" i="2"/>
  <c r="R161" i="2"/>
  <c r="R159" i="2"/>
  <c r="S159" i="2"/>
  <c r="O237" i="2"/>
  <c r="Q237" i="2" s="1"/>
  <c r="L12" i="2"/>
  <c r="Q12" i="2" s="1"/>
  <c r="O12" i="2" s="1"/>
  <c r="L13" i="2"/>
  <c r="Q13" i="2" s="1"/>
  <c r="O13" i="2" s="1"/>
  <c r="F25" i="2"/>
  <c r="Q25" i="2" s="1"/>
  <c r="O25" i="2" s="1"/>
  <c r="L14" i="2"/>
  <c r="Q14" i="2" s="1"/>
  <c r="O14" i="2" s="1"/>
  <c r="H11" i="2"/>
  <c r="O211" i="2"/>
  <c r="Q211" i="2" s="1"/>
  <c r="O56" i="2"/>
  <c r="Q56" i="2" s="1"/>
  <c r="L15" i="2"/>
  <c r="Q15" i="2" s="1"/>
  <c r="O15" i="2" s="1"/>
  <c r="Q239" i="2"/>
  <c r="Q213" i="2"/>
  <c r="O134" i="2"/>
  <c r="Q134" i="2" s="1"/>
  <c r="F131" i="2"/>
  <c r="Q135" i="2"/>
  <c r="O82" i="2"/>
  <c r="Q82" i="2" s="1"/>
  <c r="Q83" i="2"/>
  <c r="F79" i="2"/>
  <c r="Q57" i="2"/>
  <c r="O238" i="2"/>
  <c r="Q238" i="2" s="1"/>
  <c r="O212" i="2"/>
  <c r="Q212" i="2" s="1"/>
  <c r="O133" i="2"/>
  <c r="Q133" i="2" s="1"/>
  <c r="O81" i="2"/>
  <c r="Q81" i="2" s="1"/>
  <c r="O55" i="2"/>
  <c r="Q55" i="2" s="1"/>
  <c r="L21" i="2"/>
  <c r="Q21" i="2" s="1"/>
  <c r="L18" i="2"/>
  <c r="Q18" i="2" s="1"/>
  <c r="O18" i="2" s="1"/>
  <c r="L22" i="2"/>
  <c r="Q22" i="2" s="1"/>
  <c r="L17" i="2"/>
  <c r="Q17" i="2" s="1"/>
  <c r="O17" i="2" s="1"/>
  <c r="L19" i="2"/>
  <c r="Q19" i="2" s="1"/>
  <c r="L16" i="2"/>
  <c r="Q16" i="2" s="1"/>
  <c r="O16" i="2" s="1"/>
  <c r="L20" i="2"/>
  <c r="Q20" i="2" s="1"/>
  <c r="Q31" i="2"/>
  <c r="O30" i="2"/>
  <c r="Q30" i="2" s="1"/>
  <c r="O29" i="2"/>
  <c r="Q29" i="2" s="1"/>
  <c r="F2" i="2" l="1"/>
  <c r="F3" i="2"/>
  <c r="O181" i="2"/>
  <c r="R181" i="2"/>
  <c r="R2" i="2" s="1"/>
  <c r="S25" i="2"/>
  <c r="S238" i="2"/>
  <c r="R238" i="2"/>
  <c r="R239" i="2"/>
  <c r="R237" i="2"/>
  <c r="S239" i="2"/>
  <c r="S237" i="2"/>
  <c r="S212" i="2"/>
  <c r="R212" i="2"/>
  <c r="R213" i="2"/>
  <c r="R211" i="2"/>
  <c r="S213" i="2"/>
  <c r="S211" i="2"/>
  <c r="R135" i="2"/>
  <c r="S135" i="2"/>
  <c r="S133" i="2"/>
  <c r="R133" i="2"/>
  <c r="R134" i="2"/>
  <c r="S134" i="2"/>
  <c r="S81" i="2"/>
  <c r="R81" i="2"/>
  <c r="R83" i="2"/>
  <c r="R82" i="2"/>
  <c r="S83" i="2"/>
  <c r="S82" i="2"/>
  <c r="R57" i="2"/>
  <c r="S57" i="2"/>
  <c r="S55" i="2"/>
  <c r="R55" i="2"/>
  <c r="R56" i="2"/>
  <c r="S56" i="2"/>
  <c r="O20" i="2"/>
  <c r="O21" i="2"/>
  <c r="O19" i="2"/>
  <c r="R11" i="2"/>
  <c r="R31" i="2"/>
  <c r="S30" i="2"/>
  <c r="S31" i="2"/>
  <c r="R19" i="2"/>
  <c r="R16" i="2"/>
  <c r="O22" i="2"/>
  <c r="R22" i="2"/>
  <c r="R18" i="2"/>
  <c r="R13" i="2"/>
  <c r="R12" i="2"/>
  <c r="R14" i="2"/>
  <c r="R30" i="2"/>
  <c r="S29" i="2"/>
  <c r="R29" i="2"/>
  <c r="R21" i="2"/>
  <c r="R15" i="2"/>
  <c r="R17" i="2"/>
  <c r="R20" i="2"/>
  <c r="B16" i="1" l="1"/>
  <c r="R25" i="2" l="1"/>
  <c r="B45" i="1"/>
  <c r="E45" i="1" s="1"/>
  <c r="B44" i="1"/>
  <c r="O16" i="1"/>
  <c r="F46" i="1"/>
  <c r="H46" i="1" s="1"/>
  <c r="F19" i="1"/>
  <c r="H19" i="1" s="1"/>
  <c r="J30" i="1"/>
  <c r="J31" i="1"/>
  <c r="J32" i="1"/>
  <c r="F47" i="1"/>
  <c r="H47" i="1" s="1"/>
  <c r="F48" i="1"/>
  <c r="H48" i="1" s="1"/>
  <c r="F49" i="1"/>
  <c r="H49" i="1" s="1"/>
  <c r="F50" i="1"/>
  <c r="H50" i="1" s="1"/>
  <c r="D61" i="1"/>
  <c r="D60" i="1"/>
  <c r="D59" i="1"/>
  <c r="D58" i="1"/>
  <c r="D57" i="1"/>
  <c r="D56" i="1"/>
  <c r="D55" i="1"/>
  <c r="D54" i="1"/>
  <c r="D53" i="1"/>
  <c r="D52" i="1"/>
  <c r="D51" i="1"/>
  <c r="K45" i="1"/>
  <c r="B46" i="1" s="1"/>
  <c r="J45" i="1"/>
  <c r="F45" i="1"/>
  <c r="H45" i="1" s="1"/>
  <c r="D22" i="1"/>
  <c r="D23" i="1"/>
  <c r="D24" i="1"/>
  <c r="D25" i="1"/>
  <c r="D26" i="1"/>
  <c r="D27" i="1"/>
  <c r="D28" i="1"/>
  <c r="D29" i="1"/>
  <c r="D30" i="1"/>
  <c r="D31" i="1"/>
  <c r="D32" i="1"/>
  <c r="K17" i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46" i="1" l="1"/>
  <c r="F55" i="1"/>
  <c r="H55" i="1" s="1"/>
  <c r="F53" i="1"/>
  <c r="H53" i="1" s="1"/>
  <c r="F52" i="1"/>
  <c r="H52" i="1" s="1"/>
  <c r="F51" i="1"/>
  <c r="H51" i="1" s="1"/>
  <c r="F56" i="1"/>
  <c r="B19" i="1"/>
  <c r="B27" i="1"/>
  <c r="B22" i="1"/>
  <c r="B18" i="1"/>
  <c r="B30" i="1"/>
  <c r="B23" i="1"/>
  <c r="B31" i="1"/>
  <c r="E31" i="1" s="1"/>
  <c r="B26" i="1"/>
  <c r="F20" i="1"/>
  <c r="H20" i="1" s="1"/>
  <c r="F58" i="1"/>
  <c r="F54" i="1"/>
  <c r="H54" i="1" s="1"/>
  <c r="B20" i="1"/>
  <c r="B24" i="1"/>
  <c r="B28" i="1"/>
  <c r="B32" i="1"/>
  <c r="E32" i="1" s="1"/>
  <c r="F57" i="1"/>
  <c r="H57" i="1" s="1"/>
  <c r="B17" i="1"/>
  <c r="B21" i="1"/>
  <c r="B25" i="1"/>
  <c r="B29" i="1"/>
  <c r="E46" i="1"/>
  <c r="G46" i="1" s="1"/>
  <c r="G45" i="1"/>
  <c r="I45" i="1" s="1"/>
  <c r="F18" i="1"/>
  <c r="H18" i="1" s="1"/>
  <c r="F16" i="1"/>
  <c r="H16" i="1" s="1"/>
  <c r="F17" i="1"/>
  <c r="H17" i="1" s="1"/>
  <c r="H58" i="1"/>
  <c r="H56" i="1"/>
  <c r="F29" i="1"/>
  <c r="F27" i="1"/>
  <c r="F25" i="1"/>
  <c r="F23" i="1"/>
  <c r="F21" i="1"/>
  <c r="E30" i="1"/>
  <c r="F28" i="1"/>
  <c r="F26" i="1"/>
  <c r="F24" i="1"/>
  <c r="F22" i="1"/>
  <c r="E16" i="1"/>
  <c r="B47" i="1" l="1"/>
  <c r="E47" i="1" s="1"/>
  <c r="G47" i="1" s="1"/>
  <c r="J47" i="1" s="1"/>
  <c r="K47" i="1"/>
  <c r="I46" i="1"/>
  <c r="J46" i="1"/>
  <c r="E21" i="1"/>
  <c r="E26" i="1"/>
  <c r="E28" i="1"/>
  <c r="E25" i="1"/>
  <c r="E18" i="1"/>
  <c r="E17" i="1"/>
  <c r="E22" i="1"/>
  <c r="E24" i="1"/>
  <c r="N16" i="1"/>
  <c r="J16" i="1"/>
  <c r="E20" i="1"/>
  <c r="E29" i="1"/>
  <c r="E27" i="1"/>
  <c r="E23" i="1"/>
  <c r="E19" i="1"/>
  <c r="G16" i="1"/>
  <c r="I16" i="1" s="1"/>
  <c r="M16" i="1" s="1"/>
  <c r="H24" i="1"/>
  <c r="H25" i="1"/>
  <c r="H26" i="1"/>
  <c r="H27" i="1"/>
  <c r="H28" i="1"/>
  <c r="H21" i="1"/>
  <c r="H29" i="1"/>
  <c r="H22" i="1"/>
  <c r="H23" i="1"/>
  <c r="K48" i="1" l="1"/>
  <c r="B48" i="1"/>
  <c r="E48" i="1" s="1"/>
  <c r="I47" i="1"/>
  <c r="G18" i="1"/>
  <c r="I18" i="1" s="1"/>
  <c r="M18" i="1" s="1"/>
  <c r="G17" i="1"/>
  <c r="I17" i="1" s="1"/>
  <c r="M17" i="1" s="1"/>
  <c r="G27" i="1"/>
  <c r="J27" i="1" s="1"/>
  <c r="G20" i="1"/>
  <c r="G21" i="1"/>
  <c r="J21" i="1" s="1"/>
  <c r="G28" i="1"/>
  <c r="J28" i="1" s="1"/>
  <c r="G26" i="1"/>
  <c r="J26" i="1" s="1"/>
  <c r="G19" i="1"/>
  <c r="G24" i="1"/>
  <c r="J24" i="1" s="1"/>
  <c r="G23" i="1"/>
  <c r="J23" i="1" s="1"/>
  <c r="G22" i="1"/>
  <c r="J22" i="1" s="1"/>
  <c r="G25" i="1"/>
  <c r="J25" i="1" s="1"/>
  <c r="G29" i="1"/>
  <c r="J29" i="1" s="1"/>
  <c r="O17" i="1"/>
  <c r="N17" i="1"/>
  <c r="G48" i="1" l="1"/>
  <c r="B49" i="1"/>
  <c r="E49" i="1" s="1"/>
  <c r="G49" i="1" s="1"/>
  <c r="K49" i="1"/>
  <c r="O18" i="1"/>
  <c r="J18" i="1"/>
  <c r="N19" i="1"/>
  <c r="N18" i="1"/>
  <c r="J17" i="1"/>
  <c r="I23" i="1"/>
  <c r="I28" i="1"/>
  <c r="I26" i="1"/>
  <c r="I25" i="1"/>
  <c r="I27" i="1"/>
  <c r="I21" i="1"/>
  <c r="I22" i="1"/>
  <c r="J19" i="1"/>
  <c r="I19" i="1"/>
  <c r="M19" i="1" s="1"/>
  <c r="J20" i="1"/>
  <c r="I20" i="1"/>
  <c r="I29" i="1"/>
  <c r="I24" i="1"/>
  <c r="J49" i="1" l="1"/>
  <c r="I49" i="1"/>
  <c r="B50" i="1"/>
  <c r="E50" i="1" s="1"/>
  <c r="K50" i="1"/>
  <c r="J48" i="1"/>
  <c r="I48" i="1"/>
  <c r="G50" i="1" l="1"/>
  <c r="B51" i="1"/>
  <c r="E51" i="1" s="1"/>
  <c r="K51" i="1"/>
  <c r="B52" i="1" l="1"/>
  <c r="E52" i="1" s="1"/>
  <c r="K52" i="1"/>
  <c r="G51" i="1"/>
  <c r="J50" i="1"/>
  <c r="I50" i="1"/>
  <c r="I51" i="1" l="1"/>
  <c r="J51" i="1"/>
  <c r="B53" i="1"/>
  <c r="E53" i="1" s="1"/>
  <c r="G53" i="1" s="1"/>
  <c r="K53" i="1"/>
  <c r="G52" i="1"/>
  <c r="J53" i="1" l="1"/>
  <c r="I53" i="1"/>
  <c r="I52" i="1"/>
  <c r="J52" i="1"/>
  <c r="B54" i="1"/>
  <c r="E54" i="1" s="1"/>
  <c r="G54" i="1" s="1"/>
  <c r="K54" i="1"/>
  <c r="B55" i="1" l="1"/>
  <c r="E55" i="1" s="1"/>
  <c r="G55" i="1" s="1"/>
  <c r="K55" i="1"/>
  <c r="J54" i="1"/>
  <c r="I54" i="1"/>
  <c r="I55" i="1" l="1"/>
  <c r="J55" i="1"/>
  <c r="B56" i="1"/>
  <c r="E56" i="1" s="1"/>
  <c r="G56" i="1" s="1"/>
  <c r="K56" i="1"/>
  <c r="B57" i="1" l="1"/>
  <c r="E57" i="1" s="1"/>
  <c r="G57" i="1" s="1"/>
  <c r="K57" i="1"/>
  <c r="I56" i="1"/>
  <c r="J56" i="1"/>
  <c r="B58" i="1" l="1"/>
  <c r="E58" i="1" s="1"/>
  <c r="G58" i="1" s="1"/>
  <c r="K58" i="1"/>
  <c r="I57" i="1"/>
  <c r="J57" i="1"/>
  <c r="B59" i="1" l="1"/>
  <c r="E59" i="1" s="1"/>
  <c r="K59" i="1"/>
  <c r="I58" i="1"/>
  <c r="J58" i="1"/>
  <c r="B60" i="1" l="1"/>
  <c r="E60" i="1" s="1"/>
  <c r="K60" i="1"/>
  <c r="B61" i="1" l="1"/>
  <c r="E61" i="1" s="1"/>
  <c r="K61" i="1"/>
  <c r="K62" i="1" s="1"/>
  <c r="E14" i="2"/>
</calcChain>
</file>

<file path=xl/sharedStrings.xml><?xml version="1.0" encoding="utf-8"?>
<sst xmlns="http://schemas.openxmlformats.org/spreadsheetml/2006/main" count="483" uniqueCount="97">
  <si>
    <t>Données :</t>
  </si>
  <si>
    <t xml:space="preserve">Argent disponible </t>
  </si>
  <si>
    <t>Valeur considérée minimale supposé pour la monnaie</t>
  </si>
  <si>
    <t>Ecart entre chaque réinvestissement</t>
  </si>
  <si>
    <t>Valeur de départ</t>
  </si>
  <si>
    <t>Valeure actuelle de la cryptomonnaie</t>
  </si>
  <si>
    <t>Valeur de la 
cryptommonaie</t>
  </si>
  <si>
    <t>Euros injecté</t>
  </si>
  <si>
    <t>Conversion 
en Ripple de l'argent injecté</t>
  </si>
  <si>
    <t>opération 0</t>
  </si>
  <si>
    <t>Cumul des Euros</t>
  </si>
  <si>
    <t>Cumul des ripple</t>
  </si>
  <si>
    <t>montant voulue de 
la revente</t>
  </si>
  <si>
    <t xml:space="preserve">Valeur crypto pour revente </t>
  </si>
  <si>
    <t>% Ecart accepté entre valeur d'achat et valeur de revente</t>
  </si>
  <si>
    <t>Nbre 
d'opération</t>
  </si>
  <si>
    <t>A</t>
  </si>
  <si>
    <t>B</t>
  </si>
  <si>
    <t>C</t>
  </si>
  <si>
    <t>Celui marche en entrant les valeur que l'on va acheter</t>
  </si>
  <si>
    <t>pourcentage voulu à la revente après premier rang</t>
  </si>
  <si>
    <t>pourcentage voulue à la première revente</t>
  </si>
  <si>
    <t>XRP</t>
  </si>
  <si>
    <t>Montant des achats</t>
  </si>
  <si>
    <t>Nombre de crypto acheté</t>
  </si>
  <si>
    <t>Montant de la revente</t>
  </si>
  <si>
    <t>Plus value</t>
  </si>
  <si>
    <t>BCH</t>
  </si>
  <si>
    <t>UNI</t>
  </si>
  <si>
    <t>TRX</t>
  </si>
  <si>
    <t>ADA</t>
  </si>
  <si>
    <t>DOGE</t>
  </si>
  <si>
    <t>DGB</t>
  </si>
  <si>
    <t>AAVE</t>
  </si>
  <si>
    <t>Fait</t>
  </si>
  <si>
    <t>Somme montant achat</t>
  </si>
  <si>
    <t>A masquer</t>
  </si>
  <si>
    <t xml:space="preserve">A masquer </t>
  </si>
  <si>
    <t>Calcul ligne actuelle effective</t>
  </si>
  <si>
    <t xml:space="preserve">calcul toute ligne d'après effective </t>
  </si>
  <si>
    <t>Montant Crypto</t>
  </si>
  <si>
    <t>Total Crypto acheté</t>
  </si>
  <si>
    <t>total achat</t>
  </si>
  <si>
    <t>Montant total prévu pour l'opération</t>
  </si>
  <si>
    <t>Total plus value journée</t>
  </si>
  <si>
    <t xml:space="preserve">Valeur crypto revente avec le taux à </t>
  </si>
  <si>
    <t xml:space="preserve">Valeur crypto à noter pr revente Taux </t>
  </si>
  <si>
    <t>Valeur Crypto pari à noter pr revente</t>
  </si>
  <si>
    <t>montant quand l'achat est fait</t>
  </si>
  <si>
    <t xml:space="preserve">Crypto quand l'achat est fait </t>
  </si>
  <si>
    <t>Somme Nbre Crypto prévisionnel</t>
  </si>
  <si>
    <t>Tableau prévisionnel</t>
  </si>
  <si>
    <t xml:space="preserve">Total argent en cours d'utilisation </t>
  </si>
  <si>
    <t>Gain potentiel si toutes les opérations ont lieu</t>
  </si>
  <si>
    <t xml:space="preserve">ligne à ne pas effacer </t>
  </si>
  <si>
    <r>
      <t xml:space="preserve">Petit pari       </t>
    </r>
    <r>
      <rPr>
        <i/>
        <sz val="8"/>
        <color theme="1"/>
        <rFont val="Calibri"/>
        <family val="2"/>
        <scheme val="minor"/>
      </rPr>
      <t>(haut + bas)/2</t>
    </r>
  </si>
  <si>
    <r>
      <t xml:space="preserve">Moyen pari  </t>
    </r>
    <r>
      <rPr>
        <i/>
        <sz val="8"/>
        <color theme="1"/>
        <rFont val="Calibri"/>
        <family val="2"/>
        <scheme val="minor"/>
      </rPr>
      <t>(2 haut + 1 bas)/3</t>
    </r>
  </si>
  <si>
    <r>
      <t xml:space="preserve">Gros pari      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8"/>
        <color theme="1"/>
        <rFont val="Calibri"/>
        <family val="2"/>
        <scheme val="minor"/>
      </rPr>
      <t>(haut)</t>
    </r>
  </si>
  <si>
    <t>Les idées</t>
  </si>
  <si>
    <t xml:space="preserve">Faire des écarts de </t>
  </si>
  <si>
    <t xml:space="preserve">Démarrer les achats à </t>
  </si>
  <si>
    <t xml:space="preserve">Faire les achats jusqu'à </t>
  </si>
  <si>
    <t>les valeurs</t>
  </si>
  <si>
    <t>0.5,   1,   4,  8</t>
  </si>
  <si>
    <t>30 en dessous</t>
  </si>
  <si>
    <t>500 en dessous</t>
  </si>
  <si>
    <t>0.2, 0.4,  1.2,  2.2,  4</t>
  </si>
  <si>
    <t>0.008 en dessous</t>
  </si>
  <si>
    <t>0.015 en dessous</t>
  </si>
  <si>
    <t>0.04 en dessous</t>
  </si>
  <si>
    <t>0.07 en dessous</t>
  </si>
  <si>
    <t>500, 1000, 2000, 5000</t>
  </si>
  <si>
    <t>0.005 en dessous</t>
  </si>
  <si>
    <t>0.002 puis 0.002</t>
  </si>
  <si>
    <t>0.01 en dessous</t>
  </si>
  <si>
    <t>1000, 2000, 6000</t>
  </si>
  <si>
    <t>12000, 24000</t>
  </si>
  <si>
    <t>1.5 en dessous</t>
  </si>
  <si>
    <t>2.5 en dessous</t>
  </si>
  <si>
    <t>5, 10, 30, 50</t>
  </si>
  <si>
    <t>ETH</t>
  </si>
  <si>
    <t>0.1 en dessous</t>
  </si>
  <si>
    <t>0.2 en dessous</t>
  </si>
  <si>
    <t>150, 300, 800, 1600, 2000</t>
  </si>
  <si>
    <t>en dessous</t>
  </si>
  <si>
    <t>les propositions d'achat</t>
  </si>
  <si>
    <t>puis</t>
  </si>
  <si>
    <t>% de la revente</t>
  </si>
  <si>
    <t>Valeur initiale stable</t>
  </si>
  <si>
    <t>à la fin</t>
  </si>
  <si>
    <t xml:space="preserve"> en dessous</t>
  </si>
  <si>
    <t>Descendre à</t>
  </si>
  <si>
    <t>Conseil</t>
  </si>
  <si>
    <t>Ne pas modifier après une montée fulgurante, garder la valeurstable</t>
  </si>
  <si>
    <t>Rester à 2% de gain ou au pire la moyenne entre 2% et moyen parie</t>
  </si>
  <si>
    <t>Valeur haute</t>
  </si>
  <si>
    <t>doge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</si>
</sst>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&quot;€&quot;"/>
    <numFmt numFmtId="165" formatCode="#,##0.00\ &quot;€&quot;"/>
    <numFmt numFmtId="166" formatCode="#,##0.00\ [$₼-42C]"/>
    <numFmt numFmtId="167" formatCode="#,##0.000\ [$₼-42C]"/>
    <numFmt numFmtId="168" formatCode="#,##0.00000\ &quot;€&quot;"/>
    <numFmt numFmtId="169" formatCode="#,##0.00000\ [$₼-42C]"/>
    <numFmt numFmtId="170" formatCode="0.000"/>
    <numFmt numFmtId="171" formatCode="0.0000"/>
  </numFmts>
  <fonts count="1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u/>
      <sz val="10"/>
      <color theme="0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3" xfId="0" applyNumberFormat="1" applyBorder="1"/>
    <xf numFmtId="0" fontId="0" fillId="0" borderId="13" xfId="0" applyBorder="1"/>
    <xf numFmtId="165" fontId="0" fillId="0" borderId="13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13" xfId="0" applyNumberFormat="1" applyBorder="1"/>
    <xf numFmtId="10" fontId="0" fillId="0" borderId="5" xfId="0" applyNumberFormat="1" applyBorder="1"/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 applyAlignment="1">
      <alignment horizontal="center"/>
    </xf>
    <xf numFmtId="164" fontId="0" fillId="0" borderId="20" xfId="0" applyNumberFormat="1" applyBorder="1"/>
    <xf numFmtId="166" fontId="0" fillId="0" borderId="20" xfId="0" applyNumberFormat="1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/>
    </xf>
    <xf numFmtId="0" fontId="2" fillId="0" borderId="0" xfId="0" applyFont="1"/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167" fontId="0" fillId="0" borderId="17" xfId="0" applyNumberFormat="1" applyBorder="1"/>
    <xf numFmtId="168" fontId="0" fillId="0" borderId="13" xfId="0" applyNumberFormat="1" applyBorder="1"/>
    <xf numFmtId="169" fontId="0" fillId="0" borderId="20" xfId="0" applyNumberFormat="1" applyBorder="1"/>
    <xf numFmtId="10" fontId="0" fillId="0" borderId="13" xfId="0" applyNumberFormat="1" applyBorder="1"/>
    <xf numFmtId="0" fontId="9" fillId="0" borderId="15" xfId="0" applyFont="1" applyBorder="1"/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4" fillId="0" borderId="43" xfId="0" applyFont="1" applyBorder="1" applyAlignment="1">
      <alignment horizontal="center"/>
    </xf>
    <xf numFmtId="1" fontId="0" fillId="0" borderId="66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6" xfId="0" applyFont="1" applyBorder="1" applyAlignment="1">
      <alignment horizontal="center"/>
    </xf>
    <xf numFmtId="1" fontId="0" fillId="0" borderId="44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8" fillId="0" borderId="26" xfId="0" applyFont="1" applyBorder="1" applyAlignment="1">
      <alignment horizontal="center"/>
    </xf>
    <xf numFmtId="1" fontId="3" fillId="0" borderId="38" xfId="0" applyNumberFormat="1" applyFont="1" applyBorder="1" applyAlignment="1">
      <alignment horizontal="center"/>
    </xf>
    <xf numFmtId="1" fontId="3" fillId="0" borderId="27" xfId="0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2" fontId="3" fillId="0" borderId="29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48" xfId="0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9" xfId="0" applyBorder="1"/>
    <xf numFmtId="0" fontId="4" fillId="0" borderId="47" xfId="0" applyFont="1" applyBorder="1" applyAlignment="1">
      <alignment horizontal="center"/>
    </xf>
    <xf numFmtId="0" fontId="0" fillId="0" borderId="62" xfId="0" applyBorder="1" applyAlignment="1">
      <alignment horizontal="center"/>
    </xf>
    <xf numFmtId="9" fontId="0" fillId="0" borderId="40" xfId="0" applyNumberFormat="1" applyBorder="1" applyAlignment="1">
      <alignment horizontal="center"/>
    </xf>
    <xf numFmtId="0" fontId="0" fillId="0" borderId="0" xfId="0" applyAlignment="1">
      <alignment horizontal="right" indent="3"/>
    </xf>
    <xf numFmtId="0" fontId="5" fillId="0" borderId="0" xfId="0" applyFont="1" applyAlignment="1">
      <alignment vertical="center" wrapText="1"/>
    </xf>
    <xf numFmtId="0" fontId="4" fillId="0" borderId="5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9" fontId="0" fillId="0" borderId="18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9" fontId="0" fillId="0" borderId="21" xfId="0" applyNumberFormat="1" applyBorder="1" applyAlignment="1">
      <alignment horizontal="center"/>
    </xf>
    <xf numFmtId="0" fontId="0" fillId="2" borderId="60" xfId="0" applyFill="1" applyBorder="1" applyAlignment="1">
      <alignment horizontal="left"/>
    </xf>
    <xf numFmtId="0" fontId="0" fillId="2" borderId="64" xfId="0" applyFill="1" applyBorder="1" applyAlignment="1">
      <alignment horizontal="left"/>
    </xf>
    <xf numFmtId="0" fontId="0" fillId="2" borderId="63" xfId="0" applyFill="1" applyBorder="1" applyAlignment="1">
      <alignment horizontal="left"/>
    </xf>
    <xf numFmtId="9" fontId="0" fillId="0" borderId="24" xfId="0" applyNumberFormat="1" applyBorder="1" applyAlignment="1">
      <alignment horizontal="center"/>
    </xf>
    <xf numFmtId="0" fontId="0" fillId="0" borderId="65" xfId="0" applyBorder="1"/>
    <xf numFmtId="0" fontId="0" fillId="0" borderId="65" xfId="0" applyBorder="1" applyAlignment="1">
      <alignment horizontal="center"/>
    </xf>
    <xf numFmtId="0" fontId="0" fillId="0" borderId="44" xfId="0" applyBorder="1" applyAlignment="1" applyProtection="1">
      <alignment horizontal="center"/>
      <protection locked="0"/>
    </xf>
    <xf numFmtId="1" fontId="0" fillId="0" borderId="39" xfId="0" applyNumberFormat="1" applyBorder="1" applyAlignment="1" applyProtection="1">
      <alignment horizontal="center"/>
      <protection locked="0"/>
    </xf>
    <xf numFmtId="1" fontId="0" fillId="0" borderId="37" xfId="0" applyNumberFormat="1" applyBorder="1" applyAlignment="1" applyProtection="1">
      <alignment horizontal="center"/>
      <protection locked="0"/>
    </xf>
    <xf numFmtId="1" fontId="3" fillId="0" borderId="38" xfId="0" applyNumberFormat="1" applyFont="1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1" xfId="0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34" xfId="0" applyBorder="1" applyProtection="1">
      <protection locked="0"/>
    </xf>
    <xf numFmtId="0" fontId="0" fillId="0" borderId="50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6" fillId="0" borderId="68" xfId="0" applyFont="1" applyBorder="1"/>
    <xf numFmtId="0" fontId="0" fillId="0" borderId="40" xfId="0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left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69" xfId="0" applyBorder="1" applyAlignment="1" applyProtection="1">
      <alignment horizontal="left"/>
      <protection locked="0"/>
    </xf>
    <xf numFmtId="0" fontId="0" fillId="0" borderId="33" xfId="0" applyBorder="1" applyAlignment="1" applyProtection="1">
      <alignment horizontal="left"/>
      <protection locked="0"/>
    </xf>
    <xf numFmtId="0" fontId="0" fillId="0" borderId="70" xfId="0" applyBorder="1" applyAlignment="1" applyProtection="1">
      <alignment horizontal="right" indent="4"/>
      <protection locked="0"/>
    </xf>
    <xf numFmtId="0" fontId="13" fillId="0" borderId="33" xfId="0" applyFont="1" applyBorder="1" applyAlignment="1" applyProtection="1">
      <alignment horizontal="center"/>
      <protection locked="0"/>
    </xf>
    <xf numFmtId="0" fontId="13" fillId="0" borderId="74" xfId="0" applyFont="1" applyBorder="1" applyAlignment="1" applyProtection="1">
      <alignment horizontal="center"/>
      <protection locked="0"/>
    </xf>
    <xf numFmtId="0" fontId="0" fillId="0" borderId="79" xfId="0" applyBorder="1" applyAlignment="1" applyProtection="1">
      <alignment horizontal="center"/>
      <protection locked="0"/>
    </xf>
    <xf numFmtId="0" fontId="0" fillId="0" borderId="78" xfId="0" applyBorder="1" applyAlignment="1" applyProtection="1">
      <alignment horizontal="center"/>
      <protection locked="0"/>
    </xf>
    <xf numFmtId="0" fontId="0" fillId="0" borderId="80" xfId="0" applyBorder="1" applyAlignment="1">
      <alignment horizontal="center"/>
    </xf>
    <xf numFmtId="9" fontId="14" fillId="0" borderId="81" xfId="0" applyNumberFormat="1" applyFont="1" applyBorder="1" applyAlignment="1" applyProtection="1">
      <alignment horizontal="center"/>
      <protection locked="0"/>
    </xf>
    <xf numFmtId="0" fontId="0" fillId="0" borderId="34" xfId="0" applyBorder="1"/>
    <xf numFmtId="0" fontId="0" fillId="0" borderId="50" xfId="0" applyBorder="1"/>
    <xf numFmtId="0" fontId="0" fillId="0" borderId="50" xfId="0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75" xfId="0" applyFont="1" applyBorder="1" applyAlignment="1">
      <alignment horizontal="center"/>
    </xf>
    <xf numFmtId="0" fontId="13" fillId="0" borderId="76" xfId="0" applyFont="1" applyBorder="1" applyAlignment="1">
      <alignment horizontal="center"/>
    </xf>
    <xf numFmtId="0" fontId="13" fillId="0" borderId="77" xfId="0" applyFont="1" applyBorder="1" applyAlignment="1">
      <alignment horizontal="center"/>
    </xf>
    <xf numFmtId="0" fontId="13" fillId="0" borderId="66" xfId="0" applyFont="1" applyBorder="1" applyAlignment="1">
      <alignment horizontal="center"/>
    </xf>
    <xf numFmtId="0" fontId="13" fillId="0" borderId="69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74" xfId="0" applyFont="1" applyBorder="1" applyAlignment="1">
      <alignment horizontal="center"/>
    </xf>
    <xf numFmtId="0" fontId="6" fillId="2" borderId="53" xfId="0" applyFont="1" applyFill="1" applyBorder="1" applyAlignment="1">
      <alignment vertical="center" wrapText="1"/>
    </xf>
    <xf numFmtId="0" fontId="6" fillId="2" borderId="73" xfId="0" applyFont="1" applyFill="1" applyBorder="1" applyAlignment="1">
      <alignment vertical="center" wrapText="1"/>
    </xf>
    <xf numFmtId="0" fontId="13" fillId="0" borderId="0" xfId="0" applyFont="1" applyAlignment="1">
      <alignment horizontal="center"/>
    </xf>
    <xf numFmtId="9" fontId="13" fillId="0" borderId="0" xfId="0" applyNumberFormat="1" applyFont="1" applyAlignment="1">
      <alignment horizontal="center"/>
    </xf>
    <xf numFmtId="170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170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0" fillId="2" borderId="52" xfId="0" applyFill="1" applyBorder="1" applyAlignment="1">
      <alignment horizontal="right"/>
    </xf>
    <xf numFmtId="9" fontId="0" fillId="2" borderId="56" xfId="0" applyNumberFormat="1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17" fillId="0" borderId="14" xfId="0" applyFont="1" applyBorder="1"/>
    <xf numFmtId="0" fontId="5" fillId="0" borderId="15" xfId="0" applyFont="1" applyBorder="1"/>
    <xf numFmtId="0" fontId="5" fillId="0" borderId="36" xfId="0" applyFont="1" applyBorder="1"/>
    <xf numFmtId="2" fontId="5" fillId="0" borderId="36" xfId="0" applyNumberFormat="1" applyFont="1" applyBorder="1"/>
    <xf numFmtId="171" fontId="13" fillId="0" borderId="0" xfId="0" applyNumberFormat="1" applyFont="1" applyAlignment="1">
      <alignment horizontal="center"/>
    </xf>
    <xf numFmtId="171" fontId="11" fillId="0" borderId="0" xfId="0" applyNumberFormat="1" applyFont="1" applyAlignment="1">
      <alignment horizontal="center"/>
    </xf>
    <xf numFmtId="0" fontId="0" fillId="0" borderId="16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right" indent="4"/>
      <protection locked="0"/>
    </xf>
    <xf numFmtId="0" fontId="0" fillId="0" borderId="19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right" indent="4"/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24" xfId="0" applyBorder="1" applyAlignment="1" applyProtection="1">
      <alignment horizontal="right" indent="4"/>
      <protection locked="0"/>
    </xf>
    <xf numFmtId="0" fontId="0" fillId="2" borderId="52" xfId="0" applyFill="1" applyBorder="1" applyAlignment="1">
      <alignment horizontal="center"/>
    </xf>
    <xf numFmtId="0" fontId="0" fillId="2" borderId="72" xfId="0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71" xfId="0" applyBorder="1" applyAlignment="1">
      <alignment horizontal="center"/>
    </xf>
    <xf numFmtId="0" fontId="4" fillId="3" borderId="14" xfId="0" applyFont="1" applyFill="1" applyBorder="1" applyAlignment="1" applyProtection="1">
      <alignment horizontal="center"/>
      <protection locked="0"/>
    </xf>
    <xf numFmtId="0" fontId="4" fillId="3" borderId="15" xfId="0" applyFont="1" applyFill="1" applyBorder="1" applyAlignment="1" applyProtection="1">
      <alignment horizontal="center"/>
      <protection locked="0"/>
    </xf>
    <xf numFmtId="0" fontId="4" fillId="3" borderId="36" xfId="0" applyFont="1" applyFill="1" applyBorder="1" applyAlignment="1" applyProtection="1">
      <alignment horizontal="center"/>
      <protection locked="0"/>
    </xf>
    <xf numFmtId="0" fontId="2" fillId="2" borderId="82" xfId="0" applyFont="1" applyFill="1" applyBorder="1" applyAlignment="1">
      <alignment horizontal="center" vertical="center"/>
    </xf>
    <xf numFmtId="0" fontId="2" fillId="2" borderId="83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/>
    </xf>
    <xf numFmtId="0" fontId="12" fillId="2" borderId="54" xfId="0" applyFont="1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170" fontId="0" fillId="0" borderId="51" xfId="0" applyNumberFormat="1" applyBorder="1" applyAlignment="1">
      <alignment horizontal="center"/>
    </xf>
    <xf numFmtId="170" fontId="0" fillId="0" borderId="67" xfId="0" applyNumberFormat="1" applyBorder="1" applyAlignment="1">
      <alignment horizontal="center"/>
    </xf>
    <xf numFmtId="0" fontId="16" fillId="0" borderId="0" xfId="0" applyFont="1" applyAlignment="1">
      <alignment horizontal="center"/>
    </xf>
    <xf numFmtId="171" fontId="0" fillId="0" borderId="51" xfId="0" applyNumberFormat="1" applyBorder="1" applyAlignment="1">
      <alignment horizontal="center"/>
    </xf>
    <xf numFmtId="171" fontId="0" fillId="0" borderId="67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70" fontId="0" fillId="0" borderId="10" xfId="0" applyNumberFormat="1" applyBorder="1" applyAlignment="1">
      <alignment horizontal="center"/>
    </xf>
    <xf numFmtId="170" fontId="0" fillId="0" borderId="33" xfId="0" applyNumberFormat="1" applyBorder="1" applyAlignment="1">
      <alignment horizontal="center"/>
    </xf>
    <xf numFmtId="170" fontId="0" fillId="0" borderId="60" xfId="0" applyNumberFormat="1" applyBorder="1" applyAlignment="1">
      <alignment horizontal="center"/>
    </xf>
    <xf numFmtId="170" fontId="0" fillId="0" borderId="35" xfId="0" applyNumberFormat="1" applyBorder="1" applyAlignment="1">
      <alignment horizontal="center"/>
    </xf>
    <xf numFmtId="0" fontId="15" fillId="2" borderId="82" xfId="0" applyFont="1" applyFill="1" applyBorder="1" applyAlignment="1">
      <alignment horizontal="center" vertical="center"/>
    </xf>
    <xf numFmtId="0" fontId="15" fillId="2" borderId="83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0" fillId="2" borderId="56" xfId="0" applyFill="1" applyBorder="1" applyAlignment="1">
      <alignment horizontal="center"/>
    </xf>
    <xf numFmtId="0" fontId="0" fillId="0" borderId="8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72" xfId="0" applyBorder="1" applyAlignment="1">
      <alignment horizontal="center"/>
    </xf>
    <xf numFmtId="0" fontId="12" fillId="0" borderId="54" xfId="0" applyFont="1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169" fontId="0" fillId="0" borderId="33" xfId="0" applyNumberFormat="1" applyBorder="1" applyAlignment="1">
      <alignment horizont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9" fontId="0" fillId="0" borderId="19" xfId="0" applyNumberFormat="1" applyBorder="1" applyAlignment="1">
      <alignment horizontal="center"/>
    </xf>
    <xf numFmtId="169" fontId="0" fillId="0" borderId="2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0" fontId="0" fillId="0" borderId="25" xfId="0" applyBorder="1" applyAlignment="1">
      <alignment vertical="center" wrapText="1"/>
    </xf>
    <xf numFmtId="0" fontId="0" fillId="0" borderId="25" xfId="0" applyBorder="1" applyAlignment="1">
      <alignment vertical="center"/>
    </xf>
    <xf numFmtId="166" fontId="0" fillId="0" borderId="30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B3C7-2062-47AB-B774-888D46E2793B}">
  <dimension ref="B2:O63"/>
  <sheetViews>
    <sheetView topLeftCell="A2" workbookViewId="0">
      <selection activeCell="C2" sqref="C2:I10"/>
    </sheetView>
  </sheetViews>
  <sheetFormatPr baseColWidth="10" defaultRowHeight="14.5" x14ac:dyDescent="0.35"/>
  <cols>
    <col min="4" max="4" width="14.81640625" customWidth="1"/>
    <col min="5" max="5" width="18.7265625" customWidth="1"/>
    <col min="6" max="7" width="14" customWidth="1"/>
    <col min="11" max="11" width="15" style="15" customWidth="1"/>
  </cols>
  <sheetData>
    <row r="2" spans="2:15" ht="15" thickBot="1" x14ac:dyDescent="0.4">
      <c r="C2" s="1" t="s">
        <v>0</v>
      </c>
    </row>
    <row r="3" spans="2:15" x14ac:dyDescent="0.35">
      <c r="C3" s="5" t="s">
        <v>1</v>
      </c>
      <c r="D3" s="6"/>
      <c r="E3" s="6"/>
      <c r="F3" s="6"/>
      <c r="G3" s="7"/>
      <c r="H3" s="8">
        <v>40000</v>
      </c>
      <c r="I3" s="18"/>
    </row>
    <row r="4" spans="2:15" x14ac:dyDescent="0.35">
      <c r="C4" s="9" t="s">
        <v>2</v>
      </c>
      <c r="D4" s="10"/>
      <c r="E4" s="10"/>
      <c r="F4" s="10"/>
      <c r="G4" s="11"/>
      <c r="H4" s="14">
        <v>0.1</v>
      </c>
      <c r="I4" s="19"/>
    </row>
    <row r="5" spans="2:15" x14ac:dyDescent="0.35">
      <c r="C5" s="9" t="s">
        <v>5</v>
      </c>
      <c r="D5" s="10"/>
      <c r="E5" s="10"/>
      <c r="F5" s="10"/>
      <c r="G5" s="11"/>
      <c r="H5" s="46">
        <v>1.01675</v>
      </c>
      <c r="I5" s="19"/>
      <c r="J5" s="18"/>
    </row>
    <row r="6" spans="2:15" x14ac:dyDescent="0.35">
      <c r="C6" s="9" t="s">
        <v>3</v>
      </c>
      <c r="D6" s="10"/>
      <c r="E6" s="10"/>
      <c r="F6" s="10"/>
      <c r="G6" s="11"/>
      <c r="H6" s="13">
        <v>0.15</v>
      </c>
      <c r="J6" s="19"/>
    </row>
    <row r="7" spans="2:15" x14ac:dyDescent="0.35">
      <c r="C7" s="9" t="s">
        <v>14</v>
      </c>
      <c r="D7" s="10"/>
      <c r="E7" s="10"/>
      <c r="F7" s="10"/>
      <c r="G7" s="11"/>
      <c r="H7" s="20">
        <v>0.02</v>
      </c>
      <c r="J7" s="19"/>
    </row>
    <row r="8" spans="2:15" x14ac:dyDescent="0.35">
      <c r="C8" s="9" t="s">
        <v>4</v>
      </c>
      <c r="D8" s="10"/>
      <c r="E8" s="10"/>
      <c r="F8" s="10"/>
      <c r="G8" s="11"/>
      <c r="H8" s="12">
        <v>100</v>
      </c>
    </row>
    <row r="9" spans="2:15" x14ac:dyDescent="0.35">
      <c r="C9" s="9" t="s">
        <v>21</v>
      </c>
      <c r="D9" s="10"/>
      <c r="E9" s="10"/>
      <c r="F9" s="10"/>
      <c r="G9" s="11"/>
      <c r="H9" s="48">
        <v>1.4999999999999999E-2</v>
      </c>
    </row>
    <row r="10" spans="2:15" ht="15" thickBot="1" x14ac:dyDescent="0.4">
      <c r="C10" s="2" t="s">
        <v>20</v>
      </c>
      <c r="D10" s="3"/>
      <c r="E10" s="3"/>
      <c r="F10" s="3"/>
      <c r="G10" s="4"/>
      <c r="H10" s="21">
        <v>0.05</v>
      </c>
      <c r="I10" s="18"/>
    </row>
    <row r="12" spans="2:15" x14ac:dyDescent="0.35">
      <c r="J12" s="18"/>
    </row>
    <row r="13" spans="2:15" ht="15" thickBot="1" x14ac:dyDescent="0.4"/>
    <row r="14" spans="2:15" ht="44" thickBot="1" x14ac:dyDescent="0.4">
      <c r="B14" s="215" t="s">
        <v>6</v>
      </c>
      <c r="C14" s="216"/>
      <c r="D14" s="24" t="s">
        <v>7</v>
      </c>
      <c r="E14" s="25" t="s">
        <v>8</v>
      </c>
      <c r="F14" s="23" t="s">
        <v>10</v>
      </c>
      <c r="G14" s="25" t="s">
        <v>11</v>
      </c>
      <c r="H14" s="23" t="s">
        <v>12</v>
      </c>
      <c r="I14" s="25" t="s">
        <v>13</v>
      </c>
      <c r="J14" s="22" t="s">
        <v>9</v>
      </c>
      <c r="K14" s="26" t="s">
        <v>15</v>
      </c>
      <c r="L14" s="16"/>
      <c r="M14" s="16"/>
      <c r="N14" s="16"/>
    </row>
    <row r="15" spans="2:15" x14ac:dyDescent="0.35">
      <c r="B15" s="217"/>
      <c r="C15" s="218"/>
      <c r="D15" s="27"/>
      <c r="E15" s="27"/>
      <c r="F15" s="27"/>
      <c r="G15" s="27"/>
      <c r="H15" s="27"/>
      <c r="I15" s="45"/>
      <c r="J15" s="27"/>
      <c r="K15" s="28"/>
      <c r="M15" t="s">
        <v>16</v>
      </c>
      <c r="N15" t="s">
        <v>17</v>
      </c>
      <c r="O15" t="s">
        <v>18</v>
      </c>
    </row>
    <row r="16" spans="2:15" x14ac:dyDescent="0.35">
      <c r="B16" s="219">
        <f t="shared" ref="B16:B32" si="0">+$H$5-($H$6*K15)</f>
        <v>1.01675</v>
      </c>
      <c r="C16" s="220"/>
      <c r="D16" s="29">
        <v>50</v>
      </c>
      <c r="E16" s="30">
        <f>+D16/B16</f>
        <v>49.176297024834028</v>
      </c>
      <c r="F16" s="29">
        <f>+D16</f>
        <v>50</v>
      </c>
      <c r="G16" s="30">
        <f>+E16</f>
        <v>49.176297024834028</v>
      </c>
      <c r="H16" s="31">
        <f>+F16*(1+$H$9)</f>
        <v>50.749999999999993</v>
      </c>
      <c r="I16" s="47">
        <f>+H16/G16</f>
        <v>1.03200125</v>
      </c>
      <c r="J16" s="30">
        <f>+B16</f>
        <v>1.01675</v>
      </c>
      <c r="K16" s="32">
        <v>1</v>
      </c>
      <c r="M16">
        <f>+I16/((1+$H$10)*B16)</f>
        <v>0.96666666666666656</v>
      </c>
      <c r="N16" s="17">
        <f>G15*B16</f>
        <v>0</v>
      </c>
      <c r="O16" s="17">
        <f>+G15</f>
        <v>0</v>
      </c>
    </row>
    <row r="17" spans="2:15" x14ac:dyDescent="0.35">
      <c r="B17" s="213">
        <f t="shared" si="0"/>
        <v>0.86675000000000002</v>
      </c>
      <c r="C17" s="214"/>
      <c r="D17" s="29">
        <v>700</v>
      </c>
      <c r="E17" s="30">
        <f t="shared" ref="E17:E32" si="1">+D17/B17</f>
        <v>807.61465243726559</v>
      </c>
      <c r="F17" s="29">
        <f>+SUM($D$16:D17)</f>
        <v>750</v>
      </c>
      <c r="G17" s="30">
        <f>+SUM($E$16:E17)</f>
        <v>856.79094946209966</v>
      </c>
      <c r="H17" s="31">
        <f t="shared" ref="H17:H29" si="2">+F17*(1+$H$10)</f>
        <v>787.5</v>
      </c>
      <c r="I17" s="47">
        <f t="shared" ref="I17:I29" si="3">+H17/G17</f>
        <v>0.91912735597218775</v>
      </c>
      <c r="J17" s="30">
        <f>+F17/G17</f>
        <v>0.87535938664017876</v>
      </c>
      <c r="K17" s="32">
        <f>+K16+1</f>
        <v>2</v>
      </c>
      <c r="M17">
        <f>+I17/((1+$H$10)*B17)</f>
        <v>1.0099329525701515</v>
      </c>
      <c r="N17" s="17">
        <f>G16*B17</f>
        <v>42.623555446274892</v>
      </c>
      <c r="O17" s="17">
        <f>+G16</f>
        <v>49.176297024834028</v>
      </c>
    </row>
    <row r="18" spans="2:15" x14ac:dyDescent="0.35">
      <c r="B18" s="213">
        <f t="shared" si="0"/>
        <v>0.71675</v>
      </c>
      <c r="C18" s="214"/>
      <c r="D18" s="29">
        <v>4000</v>
      </c>
      <c r="E18" s="30">
        <f t="shared" si="1"/>
        <v>5580.7464248343213</v>
      </c>
      <c r="F18" s="29">
        <f>+SUM($D$16:D18)</f>
        <v>4750</v>
      </c>
      <c r="G18" s="30">
        <f>+SUM($E$16:E18)</f>
        <v>6437.5373742964211</v>
      </c>
      <c r="H18" s="31">
        <f t="shared" si="2"/>
        <v>4987.5</v>
      </c>
      <c r="I18" s="47">
        <f t="shared" si="3"/>
        <v>0.77475278355880606</v>
      </c>
      <c r="J18" s="30">
        <f t="shared" ref="J18:J32" si="4">+F18/G18</f>
        <v>0.73785979386552958</v>
      </c>
      <c r="K18" s="32">
        <f t="shared" ref="K18:K38" si="5">+K17+1</f>
        <v>3</v>
      </c>
      <c r="M18">
        <f>+I18/((1+$H$10)*B18)</f>
        <v>1.0294521016610108</v>
      </c>
      <c r="N18" s="17">
        <f>G17*B18</f>
        <v>614.10491302695993</v>
      </c>
      <c r="O18" s="17">
        <f>+G17</f>
        <v>856.79094946209966</v>
      </c>
    </row>
    <row r="19" spans="2:15" x14ac:dyDescent="0.35">
      <c r="B19" s="213">
        <f t="shared" si="0"/>
        <v>0.56675000000000009</v>
      </c>
      <c r="C19" s="214"/>
      <c r="D19" s="29">
        <v>7000</v>
      </c>
      <c r="E19" s="30">
        <f t="shared" si="1"/>
        <v>12351.124834583148</v>
      </c>
      <c r="F19" s="29">
        <f>+SUM($D$16:D19)</f>
        <v>11750</v>
      </c>
      <c r="G19" s="30">
        <f>+SUM($E$16:E19)</f>
        <v>18788.66220887957</v>
      </c>
      <c r="H19" s="31">
        <f t="shared" si="2"/>
        <v>12337.5</v>
      </c>
      <c r="I19" s="47">
        <f t="shared" si="3"/>
        <v>0.6566460061307221</v>
      </c>
      <c r="J19" s="30">
        <f t="shared" si="4"/>
        <v>0.62537714869592576</v>
      </c>
      <c r="K19" s="32">
        <f t="shared" si="5"/>
        <v>4</v>
      </c>
      <c r="M19">
        <f>+I19/((1+$H$10)*B19)</f>
        <v>1.1034444617484354</v>
      </c>
      <c r="N19" s="17">
        <f>G18*B19</f>
        <v>3648.4743068824973</v>
      </c>
    </row>
    <row r="20" spans="2:15" x14ac:dyDescent="0.35">
      <c r="B20" s="213">
        <f t="shared" si="0"/>
        <v>0.41675000000000006</v>
      </c>
      <c r="C20" s="214"/>
      <c r="D20" s="29">
        <v>12</v>
      </c>
      <c r="E20" s="30">
        <f t="shared" si="1"/>
        <v>28.79424115176964</v>
      </c>
      <c r="F20" s="29">
        <f>+SUM($D$16:D20)</f>
        <v>11762</v>
      </c>
      <c r="G20" s="30">
        <f>+SUM($E$16:E20)</f>
        <v>18817.456450031339</v>
      </c>
      <c r="H20" s="31">
        <f t="shared" si="2"/>
        <v>12350.1</v>
      </c>
      <c r="I20" s="47">
        <f t="shared" si="3"/>
        <v>0.65631080549036858</v>
      </c>
      <c r="J20" s="30">
        <f t="shared" si="4"/>
        <v>0.62505790999082722</v>
      </c>
      <c r="K20" s="32">
        <f t="shared" si="5"/>
        <v>5</v>
      </c>
    </row>
    <row r="21" spans="2:15" x14ac:dyDescent="0.35">
      <c r="B21" s="213">
        <f t="shared" si="0"/>
        <v>0.26675000000000004</v>
      </c>
      <c r="C21" s="214"/>
      <c r="D21" s="29">
        <v>0</v>
      </c>
      <c r="E21" s="30">
        <f t="shared" si="1"/>
        <v>0</v>
      </c>
      <c r="F21" s="29">
        <f>+SUM($D$16:D21)</f>
        <v>11762</v>
      </c>
      <c r="G21" s="30">
        <f>+SUM($E$16:E21)</f>
        <v>18817.456450031339</v>
      </c>
      <c r="H21" s="31">
        <f t="shared" si="2"/>
        <v>12350.1</v>
      </c>
      <c r="I21" s="47">
        <f t="shared" si="3"/>
        <v>0.65631080549036858</v>
      </c>
      <c r="J21" s="30">
        <f t="shared" si="4"/>
        <v>0.62505790999082722</v>
      </c>
      <c r="K21" s="32">
        <f t="shared" si="5"/>
        <v>6</v>
      </c>
    </row>
    <row r="22" spans="2:15" ht="26" x14ac:dyDescent="0.6">
      <c r="B22" s="213">
        <f t="shared" si="0"/>
        <v>0.11675000000000013</v>
      </c>
      <c r="C22" s="214"/>
      <c r="D22" s="29">
        <f t="shared" ref="D22:D32" si="6">+R17</f>
        <v>0</v>
      </c>
      <c r="E22" s="30">
        <f t="shared" si="1"/>
        <v>0</v>
      </c>
      <c r="F22" s="29">
        <f>+SUM($D$16:D22)</f>
        <v>11762</v>
      </c>
      <c r="G22" s="30">
        <f>+SUM($E$16:E22)</f>
        <v>18817.456450031339</v>
      </c>
      <c r="H22" s="31">
        <f t="shared" si="2"/>
        <v>12350.1</v>
      </c>
      <c r="I22" s="47">
        <f t="shared" si="3"/>
        <v>0.65631080549036858</v>
      </c>
      <c r="J22" s="30">
        <f t="shared" si="4"/>
        <v>0.62505790999082722</v>
      </c>
      <c r="K22" s="32">
        <f t="shared" si="5"/>
        <v>7</v>
      </c>
      <c r="M22" s="35"/>
    </row>
    <row r="23" spans="2:15" x14ac:dyDescent="0.35">
      <c r="B23" s="213">
        <f t="shared" si="0"/>
        <v>-3.3250000000000002E-2</v>
      </c>
      <c r="C23" s="214"/>
      <c r="D23" s="29">
        <f t="shared" si="6"/>
        <v>0</v>
      </c>
      <c r="E23" s="30">
        <f t="shared" si="1"/>
        <v>0</v>
      </c>
      <c r="F23" s="29">
        <f>+SUM($D$16:D23)</f>
        <v>11762</v>
      </c>
      <c r="G23" s="30">
        <f>+SUM($E$16:E23)</f>
        <v>18817.456450031339</v>
      </c>
      <c r="H23" s="31">
        <f t="shared" si="2"/>
        <v>12350.1</v>
      </c>
      <c r="I23" s="47">
        <f t="shared" si="3"/>
        <v>0.65631080549036858</v>
      </c>
      <c r="J23" s="30">
        <f t="shared" si="4"/>
        <v>0.62505790999082722</v>
      </c>
      <c r="K23" s="32">
        <f t="shared" si="5"/>
        <v>8</v>
      </c>
    </row>
    <row r="24" spans="2:15" x14ac:dyDescent="0.35">
      <c r="B24" s="213">
        <f t="shared" si="0"/>
        <v>-0.18324999999999991</v>
      </c>
      <c r="C24" s="214"/>
      <c r="D24" s="29">
        <f t="shared" si="6"/>
        <v>0</v>
      </c>
      <c r="E24" s="30">
        <f t="shared" si="1"/>
        <v>0</v>
      </c>
      <c r="F24" s="29">
        <f>+SUM($D$16:D24)</f>
        <v>11762</v>
      </c>
      <c r="G24" s="30">
        <f>+SUM($E$16:E24)</f>
        <v>18817.456450031339</v>
      </c>
      <c r="H24" s="31">
        <f t="shared" si="2"/>
        <v>12350.1</v>
      </c>
      <c r="I24" s="47">
        <f t="shared" si="3"/>
        <v>0.65631080549036858</v>
      </c>
      <c r="J24" s="30">
        <f t="shared" si="4"/>
        <v>0.62505790999082722</v>
      </c>
      <c r="K24" s="32">
        <f t="shared" si="5"/>
        <v>9</v>
      </c>
    </row>
    <row r="25" spans="2:15" x14ac:dyDescent="0.35">
      <c r="B25" s="213">
        <f t="shared" si="0"/>
        <v>-0.33324999999999982</v>
      </c>
      <c r="C25" s="214"/>
      <c r="D25" s="29">
        <f t="shared" si="6"/>
        <v>0</v>
      </c>
      <c r="E25" s="30">
        <f t="shared" si="1"/>
        <v>0</v>
      </c>
      <c r="F25" s="29">
        <f>+SUM($D$16:D25)</f>
        <v>11762</v>
      </c>
      <c r="G25" s="30">
        <f>+SUM($E$16:E25)</f>
        <v>18817.456450031339</v>
      </c>
      <c r="H25" s="31">
        <f t="shared" si="2"/>
        <v>12350.1</v>
      </c>
      <c r="I25" s="47">
        <f t="shared" si="3"/>
        <v>0.65631080549036858</v>
      </c>
      <c r="J25" s="30">
        <f t="shared" si="4"/>
        <v>0.62505790999082722</v>
      </c>
      <c r="K25" s="32">
        <f t="shared" si="5"/>
        <v>10</v>
      </c>
    </row>
    <row r="26" spans="2:15" x14ac:dyDescent="0.35">
      <c r="B26" s="213">
        <f t="shared" si="0"/>
        <v>-0.48324999999999996</v>
      </c>
      <c r="C26" s="214"/>
      <c r="D26" s="29">
        <f t="shared" si="6"/>
        <v>0</v>
      </c>
      <c r="E26" s="30">
        <f t="shared" si="1"/>
        <v>0</v>
      </c>
      <c r="F26" s="29">
        <f>+SUM($D$16:D26)</f>
        <v>11762</v>
      </c>
      <c r="G26" s="30">
        <f>+SUM($E$16:E26)</f>
        <v>18817.456450031339</v>
      </c>
      <c r="H26" s="31">
        <f t="shared" si="2"/>
        <v>12350.1</v>
      </c>
      <c r="I26" s="47">
        <f t="shared" si="3"/>
        <v>0.65631080549036858</v>
      </c>
      <c r="J26" s="30">
        <f t="shared" si="4"/>
        <v>0.62505790999082722</v>
      </c>
      <c r="K26" s="32">
        <f t="shared" si="5"/>
        <v>11</v>
      </c>
    </row>
    <row r="27" spans="2:15" x14ac:dyDescent="0.35">
      <c r="B27" s="213">
        <f t="shared" si="0"/>
        <v>-0.63324999999999987</v>
      </c>
      <c r="C27" s="214"/>
      <c r="D27" s="29">
        <f t="shared" si="6"/>
        <v>0</v>
      </c>
      <c r="E27" s="30">
        <f t="shared" si="1"/>
        <v>0</v>
      </c>
      <c r="F27" s="29">
        <f>+SUM($D$16:D27)</f>
        <v>11762</v>
      </c>
      <c r="G27" s="30">
        <f>+SUM($E$16:E27)</f>
        <v>18817.456450031339</v>
      </c>
      <c r="H27" s="31">
        <f t="shared" si="2"/>
        <v>12350.1</v>
      </c>
      <c r="I27" s="47">
        <f t="shared" si="3"/>
        <v>0.65631080549036858</v>
      </c>
      <c r="J27" s="30">
        <f t="shared" si="4"/>
        <v>0.62505790999082722</v>
      </c>
      <c r="K27" s="32">
        <f t="shared" si="5"/>
        <v>12</v>
      </c>
    </row>
    <row r="28" spans="2:15" x14ac:dyDescent="0.35">
      <c r="B28" s="213">
        <f t="shared" si="0"/>
        <v>-0.78324999999999978</v>
      </c>
      <c r="C28" s="214"/>
      <c r="D28" s="29">
        <f t="shared" si="6"/>
        <v>0</v>
      </c>
      <c r="E28" s="30">
        <f t="shared" si="1"/>
        <v>0</v>
      </c>
      <c r="F28" s="29">
        <f>+SUM($D$16:D28)</f>
        <v>11762</v>
      </c>
      <c r="G28" s="30">
        <f>+SUM($E$16:E28)</f>
        <v>18817.456450031339</v>
      </c>
      <c r="H28" s="31">
        <f t="shared" si="2"/>
        <v>12350.1</v>
      </c>
      <c r="I28" s="47">
        <f t="shared" si="3"/>
        <v>0.65631080549036858</v>
      </c>
      <c r="J28" s="30">
        <f t="shared" si="4"/>
        <v>0.62505790999082722</v>
      </c>
      <c r="K28" s="32">
        <f t="shared" si="5"/>
        <v>13</v>
      </c>
    </row>
    <row r="29" spans="2:15" x14ac:dyDescent="0.35">
      <c r="B29" s="213">
        <f t="shared" si="0"/>
        <v>-0.93324999999999991</v>
      </c>
      <c r="C29" s="214"/>
      <c r="D29" s="29">
        <f t="shared" si="6"/>
        <v>0</v>
      </c>
      <c r="E29" s="30">
        <f t="shared" si="1"/>
        <v>0</v>
      </c>
      <c r="F29" s="29">
        <f>+SUM($D$16:D29)</f>
        <v>11762</v>
      </c>
      <c r="G29" s="30">
        <f>+SUM($E$16:E29)</f>
        <v>18817.456450031339</v>
      </c>
      <c r="H29" s="31">
        <f t="shared" si="2"/>
        <v>12350.1</v>
      </c>
      <c r="I29" s="47">
        <f t="shared" si="3"/>
        <v>0.65631080549036858</v>
      </c>
      <c r="J29" s="30">
        <f t="shared" si="4"/>
        <v>0.62505790999082722</v>
      </c>
      <c r="K29" s="32">
        <f t="shared" si="5"/>
        <v>14</v>
      </c>
    </row>
    <row r="30" spans="2:15" x14ac:dyDescent="0.35">
      <c r="B30" s="213">
        <f t="shared" si="0"/>
        <v>-1.08325</v>
      </c>
      <c r="C30" s="214"/>
      <c r="D30" s="29">
        <f t="shared" si="6"/>
        <v>0</v>
      </c>
      <c r="E30" s="30">
        <f t="shared" si="1"/>
        <v>0</v>
      </c>
      <c r="F30" s="31"/>
      <c r="G30" s="31"/>
      <c r="H30" s="31"/>
      <c r="I30" s="47"/>
      <c r="J30" s="30" t="e">
        <f t="shared" si="4"/>
        <v>#DIV/0!</v>
      </c>
      <c r="K30" s="32">
        <f t="shared" si="5"/>
        <v>15</v>
      </c>
    </row>
    <row r="31" spans="2:15" x14ac:dyDescent="0.35">
      <c r="B31" s="213">
        <f t="shared" si="0"/>
        <v>-1.23325</v>
      </c>
      <c r="C31" s="214"/>
      <c r="D31" s="29">
        <f t="shared" si="6"/>
        <v>0</v>
      </c>
      <c r="E31" s="30">
        <f t="shared" si="1"/>
        <v>0</v>
      </c>
      <c r="F31" s="31"/>
      <c r="G31" s="31"/>
      <c r="H31" s="31"/>
      <c r="I31" s="47"/>
      <c r="J31" s="30" t="e">
        <f t="shared" si="4"/>
        <v>#DIV/0!</v>
      </c>
      <c r="K31" s="32">
        <f t="shared" si="5"/>
        <v>16</v>
      </c>
    </row>
    <row r="32" spans="2:15" x14ac:dyDescent="0.35">
      <c r="B32" s="213">
        <f t="shared" si="0"/>
        <v>-1.3832499999999999</v>
      </c>
      <c r="C32" s="214"/>
      <c r="D32" s="29">
        <f t="shared" si="6"/>
        <v>0</v>
      </c>
      <c r="E32" s="30">
        <f t="shared" si="1"/>
        <v>0</v>
      </c>
      <c r="F32" s="31"/>
      <c r="G32" s="31"/>
      <c r="H32" s="31"/>
      <c r="I32" s="47"/>
      <c r="J32" s="30" t="e">
        <f t="shared" si="4"/>
        <v>#DIV/0!</v>
      </c>
      <c r="K32" s="32">
        <f t="shared" si="5"/>
        <v>17</v>
      </c>
    </row>
    <row r="33" spans="2:13" ht="15" thickBot="1" x14ac:dyDescent="0.4">
      <c r="B33" s="222"/>
      <c r="C33" s="223"/>
      <c r="D33" s="33"/>
      <c r="E33" s="33"/>
      <c r="F33" s="33"/>
      <c r="G33" s="33"/>
      <c r="H33" s="33"/>
      <c r="I33" s="33"/>
      <c r="J33" s="33"/>
      <c r="K33" s="34">
        <f t="shared" si="5"/>
        <v>18</v>
      </c>
    </row>
    <row r="34" spans="2:13" x14ac:dyDescent="0.35">
      <c r="B34" s="221"/>
      <c r="C34" s="221"/>
      <c r="K34" s="15">
        <f t="shared" si="5"/>
        <v>19</v>
      </c>
    </row>
    <row r="35" spans="2:13" x14ac:dyDescent="0.35">
      <c r="B35" s="221"/>
      <c r="C35" s="221"/>
      <c r="K35" s="15">
        <f t="shared" si="5"/>
        <v>20</v>
      </c>
    </row>
    <row r="36" spans="2:13" x14ac:dyDescent="0.35">
      <c r="B36" s="221"/>
      <c r="C36" s="221"/>
      <c r="K36" s="15">
        <f t="shared" si="5"/>
        <v>21</v>
      </c>
    </row>
    <row r="37" spans="2:13" x14ac:dyDescent="0.35">
      <c r="K37" s="15">
        <f t="shared" si="5"/>
        <v>22</v>
      </c>
    </row>
    <row r="38" spans="2:13" x14ac:dyDescent="0.35">
      <c r="K38" s="15">
        <f t="shared" si="5"/>
        <v>23</v>
      </c>
    </row>
    <row r="42" spans="2:13" ht="15" thickBot="1" x14ac:dyDescent="0.4"/>
    <row r="43" spans="2:13" ht="44.5" thickTop="1" thickBot="1" x14ac:dyDescent="0.4">
      <c r="B43" s="226" t="s">
        <v>6</v>
      </c>
      <c r="C43" s="227"/>
      <c r="D43" s="42" t="s">
        <v>7</v>
      </c>
      <c r="E43" s="43" t="s">
        <v>8</v>
      </c>
      <c r="F43" s="43" t="s">
        <v>10</v>
      </c>
      <c r="G43" s="43" t="s">
        <v>11</v>
      </c>
      <c r="H43" s="43" t="s">
        <v>12</v>
      </c>
      <c r="I43" s="43" t="s">
        <v>13</v>
      </c>
      <c r="J43" s="42" t="s">
        <v>9</v>
      </c>
      <c r="K43" s="44" t="s">
        <v>15</v>
      </c>
      <c r="L43" s="16"/>
    </row>
    <row r="44" spans="2:13" ht="15" thickTop="1" x14ac:dyDescent="0.35">
      <c r="B44" s="228">
        <f>+$H$5</f>
        <v>1.01675</v>
      </c>
      <c r="C44" s="229"/>
      <c r="D44" s="40"/>
      <c r="E44" s="40"/>
      <c r="F44" s="40"/>
      <c r="G44" s="40"/>
      <c r="H44" s="40"/>
      <c r="I44" s="40"/>
      <c r="J44" s="40"/>
      <c r="K44" s="41">
        <v>1</v>
      </c>
    </row>
    <row r="45" spans="2:13" x14ac:dyDescent="0.35">
      <c r="B45" s="224">
        <f t="shared" ref="B45:B61" si="7">+$H$5-($H$6*K44)</f>
        <v>0.86675000000000002</v>
      </c>
      <c r="C45" s="225"/>
      <c r="D45" s="29">
        <v>100</v>
      </c>
      <c r="E45" s="30">
        <f>+D45/B45</f>
        <v>115.37352177675223</v>
      </c>
      <c r="F45" s="29">
        <f>+D45</f>
        <v>100</v>
      </c>
      <c r="G45" s="30">
        <f>+E45</f>
        <v>115.37352177675223</v>
      </c>
      <c r="H45" s="31">
        <f t="shared" ref="H45:H58" si="8">+F45*(1+$H$10)</f>
        <v>105</v>
      </c>
      <c r="I45" s="30">
        <f>+H45/G45</f>
        <v>0.91008750000000005</v>
      </c>
      <c r="J45" s="29">
        <f>+D45</f>
        <v>100</v>
      </c>
      <c r="K45" s="36">
        <f>+K44+1</f>
        <v>2</v>
      </c>
    </row>
    <row r="46" spans="2:13" x14ac:dyDescent="0.35">
      <c r="B46" s="224">
        <f t="shared" si="7"/>
        <v>0.71675</v>
      </c>
      <c r="C46" s="225"/>
      <c r="D46" s="29">
        <v>400</v>
      </c>
      <c r="E46" s="30">
        <f>+D46/B46</f>
        <v>558.07464248343217</v>
      </c>
      <c r="F46" s="29">
        <f>+SUM($D$45:D46)</f>
        <v>500</v>
      </c>
      <c r="G46" s="30">
        <f>+SUM($E$45:E46)</f>
        <v>673.4481642601844</v>
      </c>
      <c r="H46" s="31">
        <f t="shared" si="8"/>
        <v>525</v>
      </c>
      <c r="I46" s="30">
        <f>+H46/G46</f>
        <v>0.77957002166118916</v>
      </c>
      <c r="J46" s="30">
        <f t="shared" ref="J46:J58" si="9">+F46/G46</f>
        <v>0.74244763967732297</v>
      </c>
      <c r="K46" s="36">
        <f>+K45+1</f>
        <v>3</v>
      </c>
    </row>
    <row r="47" spans="2:13" ht="26" x14ac:dyDescent="0.6">
      <c r="B47" s="224">
        <f t="shared" si="7"/>
        <v>0.56675000000000009</v>
      </c>
      <c r="C47" s="225"/>
      <c r="D47" s="29">
        <v>2000</v>
      </c>
      <c r="E47" s="30">
        <f t="shared" ref="E47:E61" si="10">+D47/B47</f>
        <v>3528.8928098808992</v>
      </c>
      <c r="F47" s="29">
        <f>+SUM($D$45:D47)</f>
        <v>2500</v>
      </c>
      <c r="G47" s="30">
        <f>+SUM($E$45:E47)</f>
        <v>4202.3409741410833</v>
      </c>
      <c r="H47" s="31">
        <f t="shared" si="8"/>
        <v>2625</v>
      </c>
      <c r="I47" s="30">
        <f t="shared" ref="I47:I58" si="11">+H47/G47</f>
        <v>0.62465183481131581</v>
      </c>
      <c r="J47" s="30">
        <f t="shared" si="9"/>
        <v>0.59490650934411027</v>
      </c>
      <c r="K47" s="36">
        <f t="shared" ref="K47:K61" si="12">+K46+1</f>
        <v>4</v>
      </c>
      <c r="M47" s="35" t="s">
        <v>19</v>
      </c>
    </row>
    <row r="48" spans="2:13" x14ac:dyDescent="0.35">
      <c r="B48" s="224">
        <f t="shared" si="7"/>
        <v>0.41675000000000006</v>
      </c>
      <c r="C48" s="225"/>
      <c r="D48" s="29">
        <v>10000</v>
      </c>
      <c r="E48" s="30">
        <f t="shared" si="10"/>
        <v>23995.200959808033</v>
      </c>
      <c r="F48" s="29">
        <f>+SUM($D$45:D48)</f>
        <v>12500</v>
      </c>
      <c r="G48" s="30">
        <f>+SUM($E$45:E48)</f>
        <v>28197.541933949116</v>
      </c>
      <c r="H48" s="31">
        <f t="shared" si="8"/>
        <v>13125</v>
      </c>
      <c r="I48" s="30">
        <f t="shared" si="11"/>
        <v>0.46546610448330733</v>
      </c>
      <c r="J48" s="30">
        <f t="shared" si="9"/>
        <v>0.44330105188886415</v>
      </c>
      <c r="K48" s="36">
        <f t="shared" si="12"/>
        <v>5</v>
      </c>
    </row>
    <row r="49" spans="2:11" x14ac:dyDescent="0.35">
      <c r="B49" s="224">
        <f t="shared" si="7"/>
        <v>0.26675000000000004</v>
      </c>
      <c r="C49" s="225"/>
      <c r="D49" s="29"/>
      <c r="E49" s="30">
        <f t="shared" si="10"/>
        <v>0</v>
      </c>
      <c r="F49" s="29">
        <f>+SUM($D$45:D49)</f>
        <v>12500</v>
      </c>
      <c r="G49" s="30">
        <f>+SUM($E$45:E49)</f>
        <v>28197.541933949116</v>
      </c>
      <c r="H49" s="31">
        <f t="shared" si="8"/>
        <v>13125</v>
      </c>
      <c r="I49" s="30">
        <f>+H49/G49</f>
        <v>0.46546610448330733</v>
      </c>
      <c r="J49" s="30">
        <f t="shared" si="9"/>
        <v>0.44330105188886415</v>
      </c>
      <c r="K49" s="36">
        <f t="shared" si="12"/>
        <v>6</v>
      </c>
    </row>
    <row r="50" spans="2:11" x14ac:dyDescent="0.35">
      <c r="B50" s="224">
        <f t="shared" si="7"/>
        <v>0.11675000000000013</v>
      </c>
      <c r="C50" s="225"/>
      <c r="D50" s="29"/>
      <c r="E50" s="30">
        <f t="shared" si="10"/>
        <v>0</v>
      </c>
      <c r="F50" s="29">
        <f>+SUM($D$45:D50)</f>
        <v>12500</v>
      </c>
      <c r="G50" s="30">
        <f>+SUM($E$45:E50)</f>
        <v>28197.541933949116</v>
      </c>
      <c r="H50" s="31">
        <f t="shared" si="8"/>
        <v>13125</v>
      </c>
      <c r="I50" s="30">
        <f t="shared" si="11"/>
        <v>0.46546610448330733</v>
      </c>
      <c r="J50" s="30">
        <f t="shared" si="9"/>
        <v>0.44330105188886415</v>
      </c>
      <c r="K50" s="36">
        <f t="shared" si="12"/>
        <v>7</v>
      </c>
    </row>
    <row r="51" spans="2:11" x14ac:dyDescent="0.35">
      <c r="B51" s="224">
        <f t="shared" si="7"/>
        <v>-3.3250000000000002E-2</v>
      </c>
      <c r="C51" s="225"/>
      <c r="D51" s="29">
        <f t="shared" ref="D51:D61" si="13">+R46</f>
        <v>0</v>
      </c>
      <c r="E51" s="30">
        <f t="shared" si="10"/>
        <v>0</v>
      </c>
      <c r="F51" s="29">
        <f>+SUM($D$45:D51)</f>
        <v>12500</v>
      </c>
      <c r="G51" s="30">
        <f>+SUM($E$45:E51)</f>
        <v>28197.541933949116</v>
      </c>
      <c r="H51" s="31">
        <f t="shared" si="8"/>
        <v>13125</v>
      </c>
      <c r="I51" s="30">
        <f t="shared" si="11"/>
        <v>0.46546610448330733</v>
      </c>
      <c r="J51" s="30">
        <f t="shared" si="9"/>
        <v>0.44330105188886415</v>
      </c>
      <c r="K51" s="36">
        <f t="shared" si="12"/>
        <v>8</v>
      </c>
    </row>
    <row r="52" spans="2:11" x14ac:dyDescent="0.35">
      <c r="B52" s="224">
        <f t="shared" si="7"/>
        <v>-0.18324999999999991</v>
      </c>
      <c r="C52" s="225"/>
      <c r="D52" s="29">
        <f t="shared" si="13"/>
        <v>0</v>
      </c>
      <c r="E52" s="30">
        <f t="shared" si="10"/>
        <v>0</v>
      </c>
      <c r="F52" s="29">
        <f>+SUM($D$45:D52)</f>
        <v>12500</v>
      </c>
      <c r="G52" s="30">
        <f>+SUM($E$45:E52)</f>
        <v>28197.541933949116</v>
      </c>
      <c r="H52" s="31">
        <f t="shared" si="8"/>
        <v>13125</v>
      </c>
      <c r="I52" s="30">
        <f t="shared" si="11"/>
        <v>0.46546610448330733</v>
      </c>
      <c r="J52" s="30">
        <f t="shared" si="9"/>
        <v>0.44330105188886415</v>
      </c>
      <c r="K52" s="36">
        <f t="shared" si="12"/>
        <v>9</v>
      </c>
    </row>
    <row r="53" spans="2:11" x14ac:dyDescent="0.35">
      <c r="B53" s="224">
        <f t="shared" si="7"/>
        <v>-0.33324999999999982</v>
      </c>
      <c r="C53" s="225"/>
      <c r="D53" s="29">
        <f t="shared" si="13"/>
        <v>0</v>
      </c>
      <c r="E53" s="30">
        <f t="shared" si="10"/>
        <v>0</v>
      </c>
      <c r="F53" s="29">
        <f>+SUM($D$45:D53)</f>
        <v>12500</v>
      </c>
      <c r="G53" s="30">
        <f>+SUM($E$45:E53)</f>
        <v>28197.541933949116</v>
      </c>
      <c r="H53" s="31">
        <f t="shared" si="8"/>
        <v>13125</v>
      </c>
      <c r="I53" s="30">
        <f t="shared" si="11"/>
        <v>0.46546610448330733</v>
      </c>
      <c r="J53" s="30">
        <f t="shared" si="9"/>
        <v>0.44330105188886415</v>
      </c>
      <c r="K53" s="36">
        <f t="shared" si="12"/>
        <v>10</v>
      </c>
    </row>
    <row r="54" spans="2:11" x14ac:dyDescent="0.35">
      <c r="B54" s="224">
        <f t="shared" si="7"/>
        <v>-0.48324999999999996</v>
      </c>
      <c r="C54" s="225"/>
      <c r="D54" s="29">
        <f t="shared" si="13"/>
        <v>0</v>
      </c>
      <c r="E54" s="30">
        <f t="shared" si="10"/>
        <v>0</v>
      </c>
      <c r="F54" s="29">
        <f>+SUM($D$45:D54)</f>
        <v>12500</v>
      </c>
      <c r="G54" s="30">
        <f>+SUM($E$45:E54)</f>
        <v>28197.541933949116</v>
      </c>
      <c r="H54" s="31">
        <f t="shared" si="8"/>
        <v>13125</v>
      </c>
      <c r="I54" s="30">
        <f t="shared" si="11"/>
        <v>0.46546610448330733</v>
      </c>
      <c r="J54" s="30">
        <f t="shared" si="9"/>
        <v>0.44330105188886415</v>
      </c>
      <c r="K54" s="36">
        <f t="shared" si="12"/>
        <v>11</v>
      </c>
    </row>
    <row r="55" spans="2:11" x14ac:dyDescent="0.35">
      <c r="B55" s="224">
        <f t="shared" si="7"/>
        <v>-0.63324999999999987</v>
      </c>
      <c r="C55" s="225"/>
      <c r="D55" s="29">
        <f t="shared" si="13"/>
        <v>0</v>
      </c>
      <c r="E55" s="30">
        <f t="shared" si="10"/>
        <v>0</v>
      </c>
      <c r="F55" s="29">
        <f>+SUM($D$45:D55)</f>
        <v>12500</v>
      </c>
      <c r="G55" s="30">
        <f>+SUM($E$45:E55)</f>
        <v>28197.541933949116</v>
      </c>
      <c r="H55" s="31">
        <f t="shared" si="8"/>
        <v>13125</v>
      </c>
      <c r="I55" s="30">
        <f t="shared" si="11"/>
        <v>0.46546610448330733</v>
      </c>
      <c r="J55" s="30">
        <f t="shared" si="9"/>
        <v>0.44330105188886415</v>
      </c>
      <c r="K55" s="36">
        <f t="shared" si="12"/>
        <v>12</v>
      </c>
    </row>
    <row r="56" spans="2:11" x14ac:dyDescent="0.35">
      <c r="B56" s="224">
        <f t="shared" si="7"/>
        <v>-0.78324999999999978</v>
      </c>
      <c r="C56" s="225"/>
      <c r="D56" s="29">
        <f t="shared" si="13"/>
        <v>0</v>
      </c>
      <c r="E56" s="30">
        <f t="shared" si="10"/>
        <v>0</v>
      </c>
      <c r="F56" s="29">
        <f>+SUM($D$45:D56)</f>
        <v>12500</v>
      </c>
      <c r="G56" s="30">
        <f>+SUM($E$45:E56)</f>
        <v>28197.541933949116</v>
      </c>
      <c r="H56" s="31">
        <f t="shared" si="8"/>
        <v>13125</v>
      </c>
      <c r="I56" s="30">
        <f t="shared" si="11"/>
        <v>0.46546610448330733</v>
      </c>
      <c r="J56" s="30">
        <f t="shared" si="9"/>
        <v>0.44330105188886415</v>
      </c>
      <c r="K56" s="36">
        <f t="shared" si="12"/>
        <v>13</v>
      </c>
    </row>
    <row r="57" spans="2:11" x14ac:dyDescent="0.35">
      <c r="B57" s="224">
        <f t="shared" si="7"/>
        <v>-0.93324999999999991</v>
      </c>
      <c r="C57" s="225"/>
      <c r="D57" s="29">
        <f t="shared" si="13"/>
        <v>0</v>
      </c>
      <c r="E57" s="30">
        <f t="shared" si="10"/>
        <v>0</v>
      </c>
      <c r="F57" s="29">
        <f>+SUM($D$45:D57)</f>
        <v>12500</v>
      </c>
      <c r="G57" s="30">
        <f>+SUM($E$45:E57)</f>
        <v>28197.541933949116</v>
      </c>
      <c r="H57" s="31">
        <f t="shared" si="8"/>
        <v>13125</v>
      </c>
      <c r="I57" s="30">
        <f t="shared" si="11"/>
        <v>0.46546610448330733</v>
      </c>
      <c r="J57" s="30">
        <f t="shared" si="9"/>
        <v>0.44330105188886415</v>
      </c>
      <c r="K57" s="36">
        <f t="shared" si="12"/>
        <v>14</v>
      </c>
    </row>
    <row r="58" spans="2:11" x14ac:dyDescent="0.35">
      <c r="B58" s="224">
        <f t="shared" si="7"/>
        <v>-1.08325</v>
      </c>
      <c r="C58" s="225"/>
      <c r="D58" s="29">
        <f t="shared" si="13"/>
        <v>0</v>
      </c>
      <c r="E58" s="30">
        <f t="shared" si="10"/>
        <v>0</v>
      </c>
      <c r="F58" s="29">
        <f>+SUM($D$45:D58)</f>
        <v>12500</v>
      </c>
      <c r="G58" s="30">
        <f>+SUM($E$45:E58)</f>
        <v>28197.541933949116</v>
      </c>
      <c r="H58" s="31">
        <f t="shared" si="8"/>
        <v>13125</v>
      </c>
      <c r="I58" s="30">
        <f t="shared" si="11"/>
        <v>0.46546610448330733</v>
      </c>
      <c r="J58" s="30">
        <f t="shared" si="9"/>
        <v>0.44330105188886415</v>
      </c>
      <c r="K58" s="36">
        <f t="shared" si="12"/>
        <v>15</v>
      </c>
    </row>
    <row r="59" spans="2:11" x14ac:dyDescent="0.35">
      <c r="B59" s="224">
        <f t="shared" si="7"/>
        <v>-1.23325</v>
      </c>
      <c r="C59" s="225"/>
      <c r="D59" s="29">
        <f t="shared" si="13"/>
        <v>0</v>
      </c>
      <c r="E59" s="30">
        <f t="shared" si="10"/>
        <v>0</v>
      </c>
      <c r="F59" s="31"/>
      <c r="G59" s="31"/>
      <c r="H59" s="31"/>
      <c r="I59" s="31"/>
      <c r="J59" s="31"/>
      <c r="K59" s="36">
        <f t="shared" si="12"/>
        <v>16</v>
      </c>
    </row>
    <row r="60" spans="2:11" x14ac:dyDescent="0.35">
      <c r="B60" s="224">
        <f t="shared" si="7"/>
        <v>-1.3832499999999999</v>
      </c>
      <c r="C60" s="225"/>
      <c r="D60" s="29">
        <f t="shared" si="13"/>
        <v>0</v>
      </c>
      <c r="E60" s="30">
        <f t="shared" si="10"/>
        <v>0</v>
      </c>
      <c r="F60" s="31"/>
      <c r="G60" s="31"/>
      <c r="H60" s="31"/>
      <c r="I60" s="31"/>
      <c r="J60" s="31"/>
      <c r="K60" s="36">
        <f t="shared" si="12"/>
        <v>17</v>
      </c>
    </row>
    <row r="61" spans="2:11" x14ac:dyDescent="0.35">
      <c r="B61" s="224">
        <f t="shared" si="7"/>
        <v>-1.5332499999999998</v>
      </c>
      <c r="C61" s="225"/>
      <c r="D61" s="29">
        <f t="shared" si="13"/>
        <v>0</v>
      </c>
      <c r="E61" s="30">
        <f t="shared" si="10"/>
        <v>0</v>
      </c>
      <c r="F61" s="31"/>
      <c r="G61" s="31"/>
      <c r="H61" s="31"/>
      <c r="I61" s="31"/>
      <c r="J61" s="31"/>
      <c r="K61" s="36">
        <f t="shared" si="12"/>
        <v>18</v>
      </c>
    </row>
    <row r="62" spans="2:11" ht="15" thickBot="1" x14ac:dyDescent="0.4">
      <c r="B62" s="37"/>
      <c r="C62" s="38"/>
      <c r="D62" s="38"/>
      <c r="E62" s="38"/>
      <c r="F62" s="38"/>
      <c r="G62" s="38"/>
      <c r="H62" s="38"/>
      <c r="I62" s="38"/>
      <c r="J62" s="38"/>
      <c r="K62" s="39" t="e">
        <f>+#REF!+1</f>
        <v>#REF!</v>
      </c>
    </row>
    <row r="63" spans="2:11" ht="15" thickTop="1" x14ac:dyDescent="0.35"/>
  </sheetData>
  <mergeCells count="42">
    <mergeCell ref="B61:C61"/>
    <mergeCell ref="B55:C55"/>
    <mergeCell ref="B56:C56"/>
    <mergeCell ref="B57:C57"/>
    <mergeCell ref="B58:C58"/>
    <mergeCell ref="B59:C59"/>
    <mergeCell ref="B60:C60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4:C14"/>
    <mergeCell ref="B15:C15"/>
    <mergeCell ref="B16:C16"/>
    <mergeCell ref="B17:C17"/>
    <mergeCell ref="B18:C18"/>
    <mergeCell ref="B19:C19"/>
    <mergeCell ref="B21:C21"/>
    <mergeCell ref="B22:C22"/>
    <mergeCell ref="B23:C23"/>
    <mergeCell ref="B24:C24"/>
    <mergeCell ref="B20:C20"/>
  </mergeCells>
  <conditionalFormatting sqref="I16:I29 I45:I58">
    <cfRule type="cellIs" dxfId="5" priority="17" operator="between">
      <formula>B16+(B16*$H$7)</formula>
      <formula>B15</formula>
    </cfRule>
  </conditionalFormatting>
  <conditionalFormatting sqref="I16:I29">
    <cfRule type="cellIs" dxfId="4" priority="2" operator="lessThan">
      <formula>B16</formula>
    </cfRule>
    <cfRule type="cellIs" dxfId="3" priority="3" operator="greaterThan">
      <formula>B15</formula>
    </cfRule>
  </conditionalFormatting>
  <conditionalFormatting sqref="I45:I51 I16:I29">
    <cfRule type="cellIs" dxfId="2" priority="15" operator="between">
      <formula>B16</formula>
      <formula>B16+(B16*$H$7)</formula>
    </cfRule>
  </conditionalFormatting>
  <conditionalFormatting sqref="I45:I58">
    <cfRule type="cellIs" dxfId="1" priority="10" operator="lessThan">
      <formula>B45</formula>
    </cfRule>
    <cfRule type="cellIs" dxfId="0" priority="11" operator="greaterThan">
      <formula>B44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A36E-1C9F-446F-9226-555E1E6D7707}">
  <dimension ref="A1:AL247"/>
  <sheetViews>
    <sheetView showGridLines="0" tabSelected="1" topLeftCell="A104" zoomScale="85" zoomScaleNormal="85" workbookViewId="0">
      <selection activeCell="G40" sqref="G40"/>
    </sheetView>
  </sheetViews>
  <sheetFormatPr baseColWidth="10" defaultColWidth="11.453125" defaultRowHeight="14.5" x14ac:dyDescent="0.35"/>
  <cols>
    <col min="1" max="1" width="12" customWidth="1"/>
    <col min="2" max="2" width="5.54296875" customWidth="1"/>
    <col min="3" max="3" width="8.81640625" customWidth="1"/>
    <col min="4" max="4" width="19" customWidth="1"/>
    <col min="5" max="5" width="5.453125" customWidth="1"/>
    <col min="6" max="6" width="19.453125" customWidth="1"/>
    <col min="7" max="7" width="4.26953125" bestFit="1" customWidth="1"/>
    <col min="8" max="9" width="27.7265625" hidden="1" customWidth="1"/>
    <col min="10" max="10" width="27.54296875" hidden="1" customWidth="1"/>
    <col min="11" max="11" width="32.453125" hidden="1" customWidth="1"/>
    <col min="12" max="12" width="20.81640625" hidden="1" customWidth="1"/>
    <col min="13" max="13" width="30.81640625" hidden="1" customWidth="1"/>
    <col min="14" max="14" width="19" hidden="1" customWidth="1"/>
    <col min="15" max="15" width="34.54296875" style="15" bestFit="1" customWidth="1" collapsed="1"/>
    <col min="16" max="16" width="4.1796875" style="15" customWidth="1"/>
    <col min="17" max="17" width="23.81640625" style="15" bestFit="1" customWidth="1"/>
    <col min="18" max="19" width="11.453125" style="15"/>
    <col min="20" max="20" width="23.54296875" customWidth="1"/>
    <col min="21" max="21" width="5.81640625" style="15" customWidth="1"/>
    <col min="22" max="22" width="5.26953125" style="15" customWidth="1"/>
    <col min="23" max="23" width="6.1796875" style="15" customWidth="1"/>
    <col min="24" max="24" width="7.7265625" style="15" bestFit="1" customWidth="1"/>
    <col min="25" max="25" width="7.26953125" customWidth="1"/>
  </cols>
  <sheetData>
    <row r="1" spans="1:25" ht="15" thickBot="1" x14ac:dyDescent="0.4"/>
    <row r="2" spans="1:25" ht="15" thickBot="1" x14ac:dyDescent="0.4">
      <c r="C2" s="165" t="s">
        <v>52</v>
      </c>
      <c r="D2" s="166"/>
      <c r="E2" s="49"/>
      <c r="F2" s="167">
        <f>+F27+F53+F79+F105+F131+F183+F209+F235+F157</f>
        <v>89804.459200000012</v>
      </c>
      <c r="H2" t="s">
        <v>37</v>
      </c>
      <c r="I2" t="s">
        <v>37</v>
      </c>
      <c r="J2" t="s">
        <v>37</v>
      </c>
      <c r="K2" t="s">
        <v>36</v>
      </c>
      <c r="L2" t="s">
        <v>36</v>
      </c>
      <c r="M2" t="s">
        <v>36</v>
      </c>
      <c r="N2" t="s">
        <v>36</v>
      </c>
      <c r="Q2" s="134" t="s">
        <v>44</v>
      </c>
      <c r="R2" s="50">
        <f>+SUM(R4:R7)+R25+R51+R77+R103+R129+R181+R207+R233+R155</f>
        <v>1921.8091840000016</v>
      </c>
    </row>
    <row r="3" spans="1:25" ht="15" thickBot="1" x14ac:dyDescent="0.4">
      <c r="C3" s="165" t="s">
        <v>53</v>
      </c>
      <c r="D3" s="166"/>
      <c r="E3" s="49"/>
      <c r="F3" s="168">
        <f>+R22+R48+R74+R100+R126+R178+R204+R230+R152</f>
        <v>1796.0891840000018</v>
      </c>
    </row>
    <row r="4" spans="1:25" ht="15" thickTop="1" x14ac:dyDescent="0.35">
      <c r="A4" s="1" t="s">
        <v>92</v>
      </c>
      <c r="Q4" s="110" t="s">
        <v>30</v>
      </c>
      <c r="R4" s="111">
        <v>94.08</v>
      </c>
    </row>
    <row r="5" spans="1:25" x14ac:dyDescent="0.35">
      <c r="A5" t="s">
        <v>93</v>
      </c>
      <c r="Q5" s="104" t="s">
        <v>96</v>
      </c>
      <c r="R5" s="112">
        <v>34.04</v>
      </c>
    </row>
    <row r="6" spans="1:25" x14ac:dyDescent="0.35">
      <c r="A6" t="s">
        <v>94</v>
      </c>
      <c r="Q6" s="104" t="s">
        <v>22</v>
      </c>
      <c r="R6" s="112">
        <f>303+28.6</f>
        <v>331.6</v>
      </c>
    </row>
    <row r="7" spans="1:25" ht="15" thickBot="1" x14ac:dyDescent="0.4">
      <c r="Q7" s="113"/>
      <c r="R7" s="114"/>
    </row>
    <row r="8" spans="1:25" ht="15" thickTop="1" x14ac:dyDescent="0.35">
      <c r="S8" s="51"/>
    </row>
    <row r="9" spans="1:25" ht="15" thickBot="1" x14ac:dyDescent="0.4">
      <c r="O9" s="193" t="s">
        <v>51</v>
      </c>
      <c r="P9" s="193"/>
      <c r="Q9" s="193"/>
      <c r="R9" s="193"/>
    </row>
    <row r="10" spans="1:25" ht="15.5" thickTop="1" thickBot="1" x14ac:dyDescent="0.4">
      <c r="A10" s="184" t="s">
        <v>33</v>
      </c>
      <c r="B10" s="187" t="s">
        <v>40</v>
      </c>
      <c r="C10" s="212"/>
      <c r="D10" s="189" t="s">
        <v>24</v>
      </c>
      <c r="E10" s="210"/>
      <c r="F10" s="52" t="s">
        <v>23</v>
      </c>
      <c r="G10" s="53" t="s">
        <v>34</v>
      </c>
      <c r="H10" s="54" t="s">
        <v>48</v>
      </c>
      <c r="I10" s="54" t="s">
        <v>49</v>
      </c>
      <c r="J10" s="55" t="s">
        <v>38</v>
      </c>
      <c r="K10" s="56" t="s">
        <v>39</v>
      </c>
      <c r="L10" s="56" t="s">
        <v>35</v>
      </c>
      <c r="M10" s="57" t="s">
        <v>50</v>
      </c>
      <c r="N10" s="15"/>
      <c r="O10" s="149" t="s">
        <v>45</v>
      </c>
      <c r="P10" s="150">
        <f>+U16</f>
        <v>0.02</v>
      </c>
      <c r="Q10" s="149" t="s">
        <v>25</v>
      </c>
      <c r="R10" s="149" t="s">
        <v>26</v>
      </c>
      <c r="T10" s="181" t="s">
        <v>58</v>
      </c>
      <c r="U10" s="208"/>
      <c r="V10" s="208"/>
      <c r="W10" s="208"/>
      <c r="X10" s="208"/>
      <c r="Y10" s="209"/>
    </row>
    <row r="11" spans="1:25" ht="15.75" customHeight="1" thickTop="1" x14ac:dyDescent="0.35">
      <c r="A11" s="206"/>
      <c r="B11" s="140">
        <f>+A15-U12</f>
        <v>280</v>
      </c>
      <c r="C11" s="127"/>
      <c r="D11" s="129"/>
      <c r="E11" s="144">
        <f>+U15</f>
        <v>0.5</v>
      </c>
      <c r="F11" s="58">
        <f t="shared" ref="F11:F16" si="0">+C11*D11</f>
        <v>0</v>
      </c>
      <c r="G11" s="105"/>
      <c r="H11" s="59">
        <f>+F11*G11</f>
        <v>0</v>
      </c>
      <c r="I11" s="59">
        <f>+D11*G11</f>
        <v>0</v>
      </c>
      <c r="J11" s="60">
        <f>(+G11-G12)*G11</f>
        <v>0</v>
      </c>
      <c r="K11" s="61">
        <f>1-G12</f>
        <v>1</v>
      </c>
      <c r="L11" s="61">
        <f>+SUM(F11)</f>
        <v>0</v>
      </c>
      <c r="M11" s="62">
        <f>+SUM(D11)</f>
        <v>0</v>
      </c>
      <c r="N11" s="63"/>
      <c r="O11" s="151" t="e">
        <f>(Q11/M11)</f>
        <v>#DIV/0!</v>
      </c>
      <c r="P11" s="149"/>
      <c r="Q11" s="149">
        <f>+L11*(1+P10)</f>
        <v>0</v>
      </c>
      <c r="R11" s="152">
        <f>+Q11-L11</f>
        <v>0</v>
      </c>
      <c r="T11" s="136" t="s">
        <v>88</v>
      </c>
      <c r="U11" s="15">
        <f>+A15</f>
        <v>300</v>
      </c>
      <c r="Y11" s="137"/>
    </row>
    <row r="12" spans="1:25" ht="15" customHeight="1" x14ac:dyDescent="0.35">
      <c r="A12" s="206"/>
      <c r="B12" s="141">
        <f>+B11-U13</f>
        <v>270</v>
      </c>
      <c r="C12" s="128"/>
      <c r="D12" s="129"/>
      <c r="E12" s="145">
        <f>+V15</f>
        <v>1</v>
      </c>
      <c r="F12" s="64">
        <f t="shared" si="0"/>
        <v>0</v>
      </c>
      <c r="G12" s="105"/>
      <c r="H12" s="59">
        <f t="shared" ref="H12:H22" si="1">+F12*G12</f>
        <v>0</v>
      </c>
      <c r="I12" s="59">
        <f t="shared" ref="I12:I23" si="2">+D12*G12</f>
        <v>0</v>
      </c>
      <c r="J12" s="65">
        <f t="shared" ref="J12:J22" si="3">(+G12-G13)*G12</f>
        <v>0</v>
      </c>
      <c r="K12" s="66">
        <f t="shared" ref="K12:K22" si="4">1-G13</f>
        <v>1</v>
      </c>
      <c r="L12" s="66">
        <f>+SUM(F11:F12)</f>
        <v>0</v>
      </c>
      <c r="M12" s="67">
        <f>+SUM(D11:D12)</f>
        <v>0</v>
      </c>
      <c r="N12" s="63"/>
      <c r="O12" s="151" t="e">
        <f t="shared" ref="O12:O22" si="5">+Q12/M12</f>
        <v>#DIV/0!</v>
      </c>
      <c r="P12" s="149"/>
      <c r="Q12" s="149">
        <f>+L12*(1+P10)</f>
        <v>0</v>
      </c>
      <c r="R12" s="152">
        <f t="shared" ref="R12:R21" si="6">+Q12-L12</f>
        <v>0</v>
      </c>
      <c r="T12" s="136" t="s">
        <v>60</v>
      </c>
      <c r="U12" s="125">
        <v>20</v>
      </c>
      <c r="V12" s="51" t="s">
        <v>84</v>
      </c>
      <c r="Y12" s="137"/>
    </row>
    <row r="13" spans="1:25" ht="15" customHeight="1" thickBot="1" x14ac:dyDescent="0.4">
      <c r="A13" s="207"/>
      <c r="B13" s="141">
        <f>+B12-U13</f>
        <v>260</v>
      </c>
      <c r="C13" s="128"/>
      <c r="D13" s="129"/>
      <c r="E13" s="145">
        <f>+W15</f>
        <v>2</v>
      </c>
      <c r="F13" s="64">
        <f t="shared" si="0"/>
        <v>0</v>
      </c>
      <c r="G13" s="105"/>
      <c r="H13" s="59">
        <f t="shared" si="1"/>
        <v>0</v>
      </c>
      <c r="I13" s="59">
        <f t="shared" si="2"/>
        <v>0</v>
      </c>
      <c r="J13" s="65">
        <f t="shared" si="3"/>
        <v>0</v>
      </c>
      <c r="K13" s="66">
        <f t="shared" si="4"/>
        <v>1</v>
      </c>
      <c r="L13" s="66">
        <f>+SUM(F11:F13)</f>
        <v>0</v>
      </c>
      <c r="M13" s="67">
        <f>+SUM(D11:D13)</f>
        <v>0</v>
      </c>
      <c r="N13" s="63"/>
      <c r="O13" s="151" t="e">
        <f t="shared" si="5"/>
        <v>#DIV/0!</v>
      </c>
      <c r="P13" s="149"/>
      <c r="Q13" s="149">
        <f>+L13*(1+P10)</f>
        <v>0</v>
      </c>
      <c r="R13" s="152">
        <f t="shared" si="6"/>
        <v>0</v>
      </c>
      <c r="T13" s="136" t="s">
        <v>59</v>
      </c>
      <c r="U13" s="125">
        <v>10</v>
      </c>
      <c r="V13" s="15" t="s">
        <v>86</v>
      </c>
      <c r="W13" s="125">
        <v>5</v>
      </c>
      <c r="X13" s="51" t="s">
        <v>89</v>
      </c>
      <c r="Y13" s="138"/>
    </row>
    <row r="14" spans="1:25" ht="15.75" customHeight="1" thickTop="1" x14ac:dyDescent="0.35">
      <c r="A14" s="121" t="s">
        <v>95</v>
      </c>
      <c r="B14" s="141">
        <f>+B13-U13</f>
        <v>250</v>
      </c>
      <c r="C14" s="128"/>
      <c r="D14" s="129"/>
      <c r="E14" s="145">
        <f>+X15</f>
        <v>4</v>
      </c>
      <c r="F14" s="64">
        <f t="shared" si="0"/>
        <v>0</v>
      </c>
      <c r="G14" s="105"/>
      <c r="H14" s="59">
        <f t="shared" si="1"/>
        <v>0</v>
      </c>
      <c r="I14" s="59">
        <f t="shared" si="2"/>
        <v>0</v>
      </c>
      <c r="J14" s="65">
        <f t="shared" si="3"/>
        <v>0</v>
      </c>
      <c r="K14" s="66">
        <f t="shared" si="4"/>
        <v>1</v>
      </c>
      <c r="L14" s="66">
        <f>+SUM(F11:F14)</f>
        <v>0</v>
      </c>
      <c r="M14" s="67">
        <f>+SUM(D11:D14)</f>
        <v>0</v>
      </c>
      <c r="N14" s="63"/>
      <c r="O14" s="151" t="e">
        <f t="shared" si="5"/>
        <v>#DIV/0!</v>
      </c>
      <c r="P14" s="149"/>
      <c r="Q14" s="149">
        <f>+L14*(1+P10)</f>
        <v>0</v>
      </c>
      <c r="R14" s="152">
        <f t="shared" si="6"/>
        <v>0</v>
      </c>
      <c r="T14" s="136" t="s">
        <v>61</v>
      </c>
      <c r="U14" s="125">
        <v>50</v>
      </c>
      <c r="V14" s="51" t="s">
        <v>84</v>
      </c>
      <c r="Y14" s="137"/>
    </row>
    <row r="15" spans="1:25" ht="15" thickBot="1" x14ac:dyDescent="0.4">
      <c r="A15" s="122">
        <v>300</v>
      </c>
      <c r="B15" s="141">
        <f>+B14-U13</f>
        <v>240</v>
      </c>
      <c r="C15" s="128"/>
      <c r="D15" s="129"/>
      <c r="E15" s="145">
        <f>+Y15</f>
        <v>16</v>
      </c>
      <c r="F15" s="64">
        <f t="shared" si="0"/>
        <v>0</v>
      </c>
      <c r="G15" s="106"/>
      <c r="H15" s="59">
        <f t="shared" si="1"/>
        <v>0</v>
      </c>
      <c r="I15" s="59">
        <f t="shared" si="2"/>
        <v>0</v>
      </c>
      <c r="J15" s="65">
        <f>(+G15-G16)*G15</f>
        <v>0</v>
      </c>
      <c r="K15" s="66">
        <f>1-G16</f>
        <v>1</v>
      </c>
      <c r="L15" s="66">
        <f>+SUM(F11:F15)</f>
        <v>0</v>
      </c>
      <c r="M15" s="67">
        <f>+SUM(D11:D15)</f>
        <v>0</v>
      </c>
      <c r="N15" s="63"/>
      <c r="O15" s="151" t="e">
        <f t="shared" si="5"/>
        <v>#DIV/0!</v>
      </c>
      <c r="P15" s="149"/>
      <c r="Q15" s="149">
        <f>+L15*(1+P10)</f>
        <v>0</v>
      </c>
      <c r="R15" s="152">
        <f t="shared" si="6"/>
        <v>0</v>
      </c>
      <c r="T15" s="136" t="s">
        <v>85</v>
      </c>
      <c r="U15" s="132">
        <v>0.5</v>
      </c>
      <c r="V15" s="132">
        <v>1</v>
      </c>
      <c r="W15" s="132">
        <v>2</v>
      </c>
      <c r="X15" s="132">
        <v>4</v>
      </c>
      <c r="Y15" s="133">
        <v>16</v>
      </c>
    </row>
    <row r="16" spans="1:25" ht="15.5" thickTop="1" thickBot="1" x14ac:dyDescent="0.4">
      <c r="A16" s="139" t="s">
        <v>91</v>
      </c>
      <c r="B16" s="141">
        <f>+B15-U13</f>
        <v>230</v>
      </c>
      <c r="C16" s="128"/>
      <c r="D16" s="129"/>
      <c r="E16" s="145">
        <f t="shared" ref="E16:E22" si="7">+Y16</f>
        <v>0</v>
      </c>
      <c r="F16" s="64">
        <f t="shared" si="0"/>
        <v>0</v>
      </c>
      <c r="G16" s="106"/>
      <c r="H16" s="59">
        <f>+F16*G16</f>
        <v>0</v>
      </c>
      <c r="I16" s="59">
        <f>+D16*G16</f>
        <v>0</v>
      </c>
      <c r="J16" s="65">
        <f>(+G16-G17)*G16</f>
        <v>0</v>
      </c>
      <c r="K16" s="66">
        <f t="shared" si="4"/>
        <v>1</v>
      </c>
      <c r="L16" s="66">
        <f>+SUM(F11:F16)</f>
        <v>0</v>
      </c>
      <c r="M16" s="67">
        <f>+SUM(D11:D16)</f>
        <v>0</v>
      </c>
      <c r="N16" s="63"/>
      <c r="O16" s="151" t="e">
        <f t="shared" si="5"/>
        <v>#DIV/0!</v>
      </c>
      <c r="P16" s="149"/>
      <c r="Q16" s="149">
        <f>+L16*(1+P10)</f>
        <v>0</v>
      </c>
      <c r="R16" s="152">
        <f t="shared" si="6"/>
        <v>0</v>
      </c>
      <c r="T16" s="2" t="s">
        <v>87</v>
      </c>
      <c r="U16" s="135">
        <v>0.02</v>
      </c>
      <c r="V16" s="126"/>
      <c r="W16" s="126"/>
      <c r="X16" s="126"/>
      <c r="Y16" s="120"/>
    </row>
    <row r="17" spans="1:19" x14ac:dyDescent="0.35">
      <c r="A17" s="139">
        <f>+A15-U14</f>
        <v>250</v>
      </c>
      <c r="B17" s="141">
        <f>+B16-U13</f>
        <v>220</v>
      </c>
      <c r="C17" s="128"/>
      <c r="D17" s="129"/>
      <c r="E17" s="145">
        <f t="shared" si="7"/>
        <v>0</v>
      </c>
      <c r="F17" s="64"/>
      <c r="G17" s="106"/>
      <c r="H17" s="59">
        <f t="shared" si="1"/>
        <v>0</v>
      </c>
      <c r="I17" s="59">
        <f t="shared" si="2"/>
        <v>0</v>
      </c>
      <c r="J17" s="65">
        <f t="shared" si="3"/>
        <v>0</v>
      </c>
      <c r="K17" s="66">
        <f t="shared" si="4"/>
        <v>1</v>
      </c>
      <c r="L17" s="66">
        <f>+SUM(F11:F17)</f>
        <v>0</v>
      </c>
      <c r="M17" s="67">
        <f>+SUM(D11:D17)</f>
        <v>0</v>
      </c>
      <c r="N17" s="63"/>
      <c r="O17" s="151" t="e">
        <f t="shared" si="5"/>
        <v>#DIV/0!</v>
      </c>
      <c r="P17" s="149"/>
      <c r="Q17" s="149">
        <f>+L17*(1+P10)</f>
        <v>0</v>
      </c>
      <c r="R17" s="152">
        <f t="shared" si="6"/>
        <v>0</v>
      </c>
    </row>
    <row r="18" spans="1:19" x14ac:dyDescent="0.35">
      <c r="B18" s="141">
        <f>+B17-U13</f>
        <v>210</v>
      </c>
      <c r="C18" s="128"/>
      <c r="D18" s="129"/>
      <c r="E18" s="145">
        <f t="shared" si="7"/>
        <v>0</v>
      </c>
      <c r="F18" s="64"/>
      <c r="G18" s="106"/>
      <c r="H18" s="59">
        <f t="shared" si="1"/>
        <v>0</v>
      </c>
      <c r="I18" s="59">
        <f t="shared" si="2"/>
        <v>0</v>
      </c>
      <c r="J18" s="65">
        <f t="shared" si="3"/>
        <v>0</v>
      </c>
      <c r="K18" s="66">
        <f t="shared" si="4"/>
        <v>1</v>
      </c>
      <c r="L18" s="66">
        <f>+SUM(F11:F18)</f>
        <v>0</v>
      </c>
      <c r="M18" s="67">
        <f>+SUM(D11:D18)</f>
        <v>0</v>
      </c>
      <c r="N18" s="63"/>
      <c r="O18" s="151" t="e">
        <f t="shared" si="5"/>
        <v>#DIV/0!</v>
      </c>
      <c r="P18" s="149"/>
      <c r="Q18" s="149">
        <f>+L18*(1+P10)</f>
        <v>0</v>
      </c>
      <c r="R18" s="152">
        <f t="shared" si="6"/>
        <v>0</v>
      </c>
    </row>
    <row r="19" spans="1:19" hidden="1" x14ac:dyDescent="0.35">
      <c r="B19" s="141">
        <f>+B18-U13</f>
        <v>200</v>
      </c>
      <c r="C19" s="128"/>
      <c r="D19" s="129">
        <v>20</v>
      </c>
      <c r="E19" s="145">
        <f t="shared" si="7"/>
        <v>0</v>
      </c>
      <c r="F19" s="64"/>
      <c r="G19" s="106"/>
      <c r="H19" s="59">
        <f t="shared" si="1"/>
        <v>0</v>
      </c>
      <c r="I19" s="59">
        <f t="shared" si="2"/>
        <v>0</v>
      </c>
      <c r="J19" s="65">
        <f t="shared" si="3"/>
        <v>0</v>
      </c>
      <c r="K19" s="66">
        <f t="shared" si="4"/>
        <v>1</v>
      </c>
      <c r="L19" s="66">
        <f>+SUM(F11:F19)</f>
        <v>0</v>
      </c>
      <c r="M19" s="67">
        <f>+SUM(D11:D19)</f>
        <v>20</v>
      </c>
      <c r="N19" s="63"/>
      <c r="O19" s="151">
        <f t="shared" si="5"/>
        <v>0</v>
      </c>
      <c r="P19" s="149"/>
      <c r="Q19" s="149">
        <f>+L19*(1+P10)</f>
        <v>0</v>
      </c>
      <c r="R19" s="152">
        <f t="shared" si="6"/>
        <v>0</v>
      </c>
    </row>
    <row r="20" spans="1:19" hidden="1" x14ac:dyDescent="0.35">
      <c r="B20" s="141">
        <f>+B19-U13</f>
        <v>190</v>
      </c>
      <c r="C20" s="128"/>
      <c r="D20" s="129">
        <v>21</v>
      </c>
      <c r="E20" s="145">
        <f t="shared" si="7"/>
        <v>0</v>
      </c>
      <c r="F20" s="64"/>
      <c r="G20" s="106"/>
      <c r="H20" s="59">
        <f t="shared" si="1"/>
        <v>0</v>
      </c>
      <c r="I20" s="59">
        <f t="shared" si="2"/>
        <v>0</v>
      </c>
      <c r="J20" s="65">
        <f t="shared" si="3"/>
        <v>0</v>
      </c>
      <c r="K20" s="66">
        <f t="shared" si="4"/>
        <v>1</v>
      </c>
      <c r="L20" s="66">
        <f>+SUM(F11:F20)</f>
        <v>0</v>
      </c>
      <c r="M20" s="67">
        <f>+SUM(D11:D20)</f>
        <v>41</v>
      </c>
      <c r="N20" s="63"/>
      <c r="O20" s="151">
        <f t="shared" si="5"/>
        <v>0</v>
      </c>
      <c r="P20" s="149"/>
      <c r="Q20" s="149">
        <f>+L20*(1+P10)</f>
        <v>0</v>
      </c>
      <c r="R20" s="152">
        <f t="shared" si="6"/>
        <v>0</v>
      </c>
    </row>
    <row r="21" spans="1:19" hidden="1" x14ac:dyDescent="0.35">
      <c r="B21" s="141">
        <f>+B20-U13</f>
        <v>180</v>
      </c>
      <c r="C21" s="128"/>
      <c r="D21" s="129">
        <v>22</v>
      </c>
      <c r="E21" s="145">
        <f t="shared" si="7"/>
        <v>0</v>
      </c>
      <c r="F21" s="64"/>
      <c r="G21" s="106"/>
      <c r="H21" s="59">
        <f t="shared" si="1"/>
        <v>0</v>
      </c>
      <c r="I21" s="59">
        <f t="shared" si="2"/>
        <v>0</v>
      </c>
      <c r="J21" s="65">
        <f>(+G21-G22)*G21</f>
        <v>0</v>
      </c>
      <c r="K21" s="66">
        <f>1-G22</f>
        <v>1</v>
      </c>
      <c r="L21" s="66">
        <f>+SUM(F11:F21)</f>
        <v>0</v>
      </c>
      <c r="M21" s="67">
        <f>+SUM(D12:D22)</f>
        <v>86</v>
      </c>
      <c r="N21" s="63"/>
      <c r="O21" s="151">
        <f t="shared" si="5"/>
        <v>0</v>
      </c>
      <c r="P21" s="149"/>
      <c r="Q21" s="149">
        <f>+L21*(1+P10)</f>
        <v>0</v>
      </c>
      <c r="R21" s="152">
        <f t="shared" si="6"/>
        <v>0</v>
      </c>
    </row>
    <row r="22" spans="1:19" hidden="1" x14ac:dyDescent="0.35">
      <c r="A22" t="s">
        <v>54</v>
      </c>
      <c r="B22" s="141"/>
      <c r="C22" s="128"/>
      <c r="D22" s="129">
        <v>23</v>
      </c>
      <c r="E22" s="145">
        <f t="shared" si="7"/>
        <v>0</v>
      </c>
      <c r="F22" s="64"/>
      <c r="G22" s="106"/>
      <c r="H22" s="59">
        <f t="shared" si="1"/>
        <v>0</v>
      </c>
      <c r="I22" s="59">
        <f t="shared" si="2"/>
        <v>0</v>
      </c>
      <c r="J22" s="65">
        <f t="shared" si="3"/>
        <v>0</v>
      </c>
      <c r="K22" s="66">
        <f t="shared" si="4"/>
        <v>1</v>
      </c>
      <c r="L22" s="66">
        <f>+SUM(F11:F22)</f>
        <v>0</v>
      </c>
      <c r="M22" s="67">
        <f>+SUM(D11:D22)</f>
        <v>86</v>
      </c>
      <c r="N22" s="63"/>
      <c r="O22" s="151">
        <f t="shared" si="5"/>
        <v>0</v>
      </c>
      <c r="P22" s="149"/>
      <c r="Q22" s="149">
        <f>+L22*(1+P10)</f>
        <v>0</v>
      </c>
      <c r="R22" s="152">
        <f>+Q22-L22</f>
        <v>0</v>
      </c>
    </row>
    <row r="23" spans="1:19" ht="15" thickBot="1" x14ac:dyDescent="0.4">
      <c r="B23" s="142"/>
      <c r="C23" s="128"/>
      <c r="D23" s="129"/>
      <c r="E23" s="146"/>
      <c r="F23" s="68"/>
      <c r="G23" s="107"/>
      <c r="H23" s="69"/>
      <c r="I23" s="69">
        <f t="shared" si="2"/>
        <v>0</v>
      </c>
      <c r="J23" s="70">
        <f>(+G23-G24)*G23</f>
        <v>0</v>
      </c>
      <c r="K23" s="71">
        <f>1-G24</f>
        <v>1</v>
      </c>
      <c r="L23" s="71"/>
      <c r="M23" s="72"/>
      <c r="N23" s="73"/>
      <c r="O23" s="153"/>
      <c r="P23" s="154"/>
      <c r="Q23" s="154"/>
      <c r="R23" s="155"/>
    </row>
    <row r="24" spans="1:19" ht="15.5" thickTop="1" thickBot="1" x14ac:dyDescent="0.4">
      <c r="C24" s="74"/>
      <c r="D24" s="177" t="s">
        <v>41</v>
      </c>
      <c r="E24" s="211"/>
      <c r="F24" s="75" t="s">
        <v>42</v>
      </c>
      <c r="G24" s="76"/>
      <c r="H24" s="15"/>
      <c r="I24" s="15"/>
      <c r="J24" s="15"/>
      <c r="K24" s="15"/>
      <c r="L24" s="15"/>
      <c r="M24" s="15"/>
      <c r="N24" s="77"/>
      <c r="O24" s="156" t="s">
        <v>46</v>
      </c>
      <c r="P24" s="157">
        <f>+P10</f>
        <v>0.02</v>
      </c>
      <c r="Q24" s="158" t="s">
        <v>25</v>
      </c>
      <c r="R24" s="158" t="s">
        <v>26</v>
      </c>
      <c r="S24" s="78"/>
    </row>
    <row r="25" spans="1:19" ht="15" thickBot="1" x14ac:dyDescent="0.4">
      <c r="C25" s="79"/>
      <c r="D25" s="179">
        <f>+D11*G11+D12*G12+D13*G13+D14*G14+D15*G15+D16*G16+D17*G17+D18*G18+D19*G19+D20*G20+D21*G21+D22*G22+D23*G23</f>
        <v>0</v>
      </c>
      <c r="E25" s="180"/>
      <c r="F25" s="80">
        <f>+F11*G11+F12*G12+F13*G13+F14*G14+F15*G15+F16*G16+F17*G17+F18*G18+F19*G19+F20*G20+F21*G21+F22*G22+F23*G23</f>
        <v>0</v>
      </c>
      <c r="G25" s="81"/>
      <c r="H25" s="15"/>
      <c r="I25" s="15"/>
      <c r="J25" s="15"/>
      <c r="K25" s="15"/>
      <c r="L25" s="15"/>
      <c r="M25" s="15"/>
      <c r="N25" s="77"/>
      <c r="O25" s="191" t="e">
        <f>+Q25/D25</f>
        <v>#DIV/0!</v>
      </c>
      <c r="P25" s="192"/>
      <c r="Q25" s="159">
        <f>+F25*(1+P10)</f>
        <v>0</v>
      </c>
      <c r="R25" s="159">
        <f>+Q25-F25</f>
        <v>0</v>
      </c>
      <c r="S25" s="82" t="e">
        <f>+(Q25/F25-1)</f>
        <v>#DIV/0!</v>
      </c>
    </row>
    <row r="26" spans="1:19" ht="15.5" thickTop="1" thickBot="1" x14ac:dyDescent="0.4">
      <c r="D26" s="83"/>
      <c r="E26" s="83"/>
      <c r="O26" s="160"/>
      <c r="R26" s="161"/>
    </row>
    <row r="27" spans="1:19" ht="22" thickTop="1" thickBot="1" x14ac:dyDescent="0.4">
      <c r="C27" s="84"/>
      <c r="D27" s="147" t="s">
        <v>43</v>
      </c>
      <c r="E27" s="148"/>
      <c r="F27" s="85">
        <f>+SUM(F11:F24)</f>
        <v>0</v>
      </c>
    </row>
    <row r="28" spans="1:19" ht="15.5" thickTop="1" thickBot="1" x14ac:dyDescent="0.4">
      <c r="C28" s="84"/>
      <c r="D28" s="86"/>
      <c r="E28" s="86"/>
      <c r="F28" s="87"/>
      <c r="O28" s="177" t="s">
        <v>47</v>
      </c>
      <c r="P28" s="205"/>
      <c r="Q28" s="158" t="s">
        <v>25</v>
      </c>
      <c r="R28" s="158" t="s">
        <v>26</v>
      </c>
    </row>
    <row r="29" spans="1:19" x14ac:dyDescent="0.35">
      <c r="C29" s="84"/>
      <c r="D29" s="88"/>
      <c r="E29" s="88"/>
      <c r="F29" s="89" t="s">
        <v>55</v>
      </c>
      <c r="G29" s="90"/>
      <c r="H29" s="90"/>
      <c r="I29" s="90"/>
      <c r="J29" s="90"/>
      <c r="K29" s="90"/>
      <c r="L29" s="90"/>
      <c r="M29" s="90"/>
      <c r="N29" s="91"/>
      <c r="O29" s="196">
        <f>(C11+(C12*J12+C13*J13+C14*J14+C15*J15+C16*J16+C17*J17+C18*J18+C19*J19+C20*J20+C21*J21+C22*J22+C23*J23))/2</f>
        <v>0</v>
      </c>
      <c r="P29" s="197"/>
      <c r="Q29" s="162">
        <f>+O29*D25</f>
        <v>0</v>
      </c>
      <c r="R29" s="162">
        <f>+Q29-F25</f>
        <v>0</v>
      </c>
      <c r="S29" s="92" t="e">
        <f>+(Q29/F25-1)</f>
        <v>#DIV/0!</v>
      </c>
    </row>
    <row r="30" spans="1:19" x14ac:dyDescent="0.35">
      <c r="D30" s="93"/>
      <c r="E30" s="93"/>
      <c r="F30" s="94" t="s">
        <v>56</v>
      </c>
      <c r="G30" s="95"/>
      <c r="H30" s="95"/>
      <c r="I30" s="95"/>
      <c r="J30" s="95"/>
      <c r="K30" s="95"/>
      <c r="L30" s="95"/>
      <c r="M30" s="95"/>
      <c r="N30" s="96"/>
      <c r="O30" s="198">
        <f>(2*C11+(C12*J12+C13*J13+C14*J14+C15*J15+C16*J16+C17*J17+C18*J18+C19*J19+C20*J20+C21*J21+C22*J22+C23*J23))/3</f>
        <v>0</v>
      </c>
      <c r="P30" s="199"/>
      <c r="Q30" s="163">
        <f>+O30*D25</f>
        <v>0</v>
      </c>
      <c r="R30" s="163">
        <f>+Q30-F25</f>
        <v>0</v>
      </c>
      <c r="S30" s="97" t="e">
        <f>+(Q30/F25-1)</f>
        <v>#DIV/0!</v>
      </c>
    </row>
    <row r="31" spans="1:19" ht="15" thickBot="1" x14ac:dyDescent="0.4">
      <c r="D31" s="93"/>
      <c r="E31" s="93"/>
      <c r="F31" s="98" t="s">
        <v>57</v>
      </c>
      <c r="G31" s="99"/>
      <c r="H31" s="99"/>
      <c r="I31" s="99"/>
      <c r="J31" s="99"/>
      <c r="K31" s="99"/>
      <c r="L31" s="99"/>
      <c r="M31" s="99"/>
      <c r="N31" s="100"/>
      <c r="O31" s="200">
        <f>+C11</f>
        <v>0</v>
      </c>
      <c r="P31" s="201"/>
      <c r="Q31" s="164">
        <f>+O31*D25</f>
        <v>0</v>
      </c>
      <c r="R31" s="164">
        <f>+Q31-F25</f>
        <v>0</v>
      </c>
      <c r="S31" s="101" t="e">
        <f>+(Q31/F25-1)</f>
        <v>#DIV/0!</v>
      </c>
    </row>
    <row r="33" spans="1:38" ht="15" thickBot="1" x14ac:dyDescent="0.4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3"/>
      <c r="P33" s="103"/>
      <c r="Q33" s="103"/>
      <c r="R33" s="103"/>
      <c r="S33" s="103"/>
      <c r="T33" s="102"/>
      <c r="U33" s="103"/>
      <c r="V33" s="103"/>
      <c r="W33" s="103"/>
      <c r="X33" s="103"/>
      <c r="Y33" s="102"/>
    </row>
    <row r="34" spans="1:38" ht="15" thickTop="1" x14ac:dyDescent="0.35">
      <c r="S34" s="51"/>
    </row>
    <row r="35" spans="1:38" ht="15" thickBot="1" x14ac:dyDescent="0.4">
      <c r="O35" s="193" t="s">
        <v>51</v>
      </c>
      <c r="P35" s="193"/>
      <c r="Q35" s="193"/>
      <c r="R35" s="193"/>
      <c r="AE35" s="15"/>
      <c r="AF35" s="15"/>
      <c r="AG35" s="15"/>
      <c r="AH35" s="15"/>
    </row>
    <row r="36" spans="1:38" ht="16.5" customHeight="1" thickTop="1" thickBot="1" x14ac:dyDescent="0.4">
      <c r="A36" s="184" t="s">
        <v>30</v>
      </c>
      <c r="B36" s="187" t="s">
        <v>40</v>
      </c>
      <c r="C36" s="188"/>
      <c r="D36" s="189" t="s">
        <v>24</v>
      </c>
      <c r="E36" s="190"/>
      <c r="F36" s="52" t="s">
        <v>23</v>
      </c>
      <c r="G36" s="53" t="s">
        <v>34</v>
      </c>
      <c r="H36" s="54" t="s">
        <v>48</v>
      </c>
      <c r="I36" s="54" t="s">
        <v>49</v>
      </c>
      <c r="J36" s="55" t="s">
        <v>38</v>
      </c>
      <c r="K36" s="56" t="s">
        <v>39</v>
      </c>
      <c r="L36" s="56" t="s">
        <v>35</v>
      </c>
      <c r="M36" s="57" t="s">
        <v>50</v>
      </c>
      <c r="N36" s="15"/>
      <c r="O36" s="149" t="s">
        <v>45</v>
      </c>
      <c r="P36" s="150">
        <f>+U42</f>
        <v>0.02</v>
      </c>
      <c r="Q36" s="149" t="s">
        <v>25</v>
      </c>
      <c r="R36" s="149" t="s">
        <v>26</v>
      </c>
      <c r="T36" s="181" t="s">
        <v>58</v>
      </c>
      <c r="U36" s="182"/>
      <c r="V36" s="182"/>
      <c r="W36" s="182"/>
      <c r="X36" s="182"/>
      <c r="Y36" s="183"/>
      <c r="AD36" s="115" t="s">
        <v>58</v>
      </c>
      <c r="AE36" s="124"/>
      <c r="AF36" s="124"/>
      <c r="AG36" s="124"/>
      <c r="AH36" s="124"/>
      <c r="AI36" s="116"/>
      <c r="AL36" s="108">
        <v>50</v>
      </c>
    </row>
    <row r="37" spans="1:38" ht="15.75" customHeight="1" thickTop="1" x14ac:dyDescent="0.35">
      <c r="A37" s="185"/>
      <c r="B37" s="140">
        <f>+A41-U38</f>
        <v>2.4</v>
      </c>
      <c r="C37" s="128">
        <v>2.4</v>
      </c>
      <c r="D37" s="129">
        <v>200</v>
      </c>
      <c r="E37" s="144">
        <f>+U41</f>
        <v>100</v>
      </c>
      <c r="F37" s="58">
        <f t="shared" ref="F37:F47" si="8">+C37*D37</f>
        <v>480</v>
      </c>
      <c r="G37" s="105">
        <v>1</v>
      </c>
      <c r="H37" s="59">
        <f>+F37*G37</f>
        <v>480</v>
      </c>
      <c r="I37" s="59">
        <f t="shared" ref="I37:I49" si="9">+D37*G37</f>
        <v>200</v>
      </c>
      <c r="J37" s="60">
        <f>(+G37-G38)*G37</f>
        <v>0</v>
      </c>
      <c r="K37" s="61">
        <f>1-G38</f>
        <v>0</v>
      </c>
      <c r="L37" s="61">
        <f>+SUM(F37)</f>
        <v>480</v>
      </c>
      <c r="M37" s="62">
        <f>+SUM(D37)</f>
        <v>200</v>
      </c>
      <c r="N37" s="63"/>
      <c r="O37" s="151">
        <f>(Q37/M37)</f>
        <v>2.448</v>
      </c>
      <c r="P37" s="149"/>
      <c r="Q37" s="149">
        <f>+L37*(1+P36)</f>
        <v>489.6</v>
      </c>
      <c r="R37" s="152">
        <f>+Q37-L37</f>
        <v>9.6000000000000227</v>
      </c>
      <c r="T37" s="136" t="s">
        <v>88</v>
      </c>
      <c r="U37" s="15">
        <f>+A41</f>
        <v>2.5</v>
      </c>
      <c r="Y37" s="137"/>
      <c r="AD37" s="117" t="s">
        <v>60</v>
      </c>
      <c r="AE37" s="125"/>
      <c r="AF37" s="125"/>
      <c r="AG37" s="125"/>
      <c r="AH37" s="118">
        <v>0.14000000000000001</v>
      </c>
      <c r="AI37" s="118" t="s">
        <v>90</v>
      </c>
      <c r="AL37" s="109">
        <v>100</v>
      </c>
    </row>
    <row r="38" spans="1:38" ht="15" customHeight="1" x14ac:dyDescent="0.35">
      <c r="A38" s="185"/>
      <c r="B38" s="141">
        <f>+B37-U39</f>
        <v>2.39</v>
      </c>
      <c r="C38" s="128">
        <v>2.39</v>
      </c>
      <c r="D38" s="129">
        <v>400</v>
      </c>
      <c r="E38" s="145">
        <f>+V41</f>
        <v>200</v>
      </c>
      <c r="F38" s="64">
        <f t="shared" si="8"/>
        <v>956</v>
      </c>
      <c r="G38" s="105">
        <v>1</v>
      </c>
      <c r="H38" s="59">
        <f t="shared" ref="H38:H48" si="10">+F38*G38</f>
        <v>956</v>
      </c>
      <c r="I38" s="59">
        <f t="shared" si="9"/>
        <v>400</v>
      </c>
      <c r="J38" s="65">
        <f t="shared" ref="J38:J46" si="11">(+G38-G39)*G38</f>
        <v>0</v>
      </c>
      <c r="K38" s="66">
        <f t="shared" ref="K38:K46" si="12">1-G39</f>
        <v>0</v>
      </c>
      <c r="L38" s="66">
        <f>+SUM(F37:F38)</f>
        <v>1436</v>
      </c>
      <c r="M38" s="67">
        <f>+SUM(D37:D38)</f>
        <v>600</v>
      </c>
      <c r="N38" s="63"/>
      <c r="O38" s="151">
        <f>+Q38/M38</f>
        <v>2.4412000000000003</v>
      </c>
      <c r="P38" s="149"/>
      <c r="Q38" s="149">
        <f>+L38*(1+P36)</f>
        <v>1464.72</v>
      </c>
      <c r="R38" s="152">
        <f t="shared" ref="R38:R47" si="13">+Q38-L38</f>
        <v>28.720000000000027</v>
      </c>
      <c r="T38" s="136" t="s">
        <v>60</v>
      </c>
      <c r="U38" s="125">
        <v>0.1</v>
      </c>
      <c r="V38" s="51" t="s">
        <v>84</v>
      </c>
      <c r="Y38" s="137"/>
      <c r="AD38" s="117" t="s">
        <v>59</v>
      </c>
      <c r="AE38" s="125"/>
      <c r="AF38" s="125"/>
      <c r="AG38" s="125"/>
      <c r="AH38" s="123">
        <v>0.01</v>
      </c>
      <c r="AI38" s="123"/>
      <c r="AL38" s="109">
        <v>200</v>
      </c>
    </row>
    <row r="39" spans="1:38" ht="15" customHeight="1" thickBot="1" x14ac:dyDescent="0.4">
      <c r="A39" s="186"/>
      <c r="B39" s="141">
        <f>+B38-U39</f>
        <v>2.3800000000000003</v>
      </c>
      <c r="C39" s="128">
        <v>2.38</v>
      </c>
      <c r="D39" s="129">
        <v>800</v>
      </c>
      <c r="E39" s="145">
        <f>+W41</f>
        <v>400</v>
      </c>
      <c r="F39" s="64">
        <f t="shared" si="8"/>
        <v>1904</v>
      </c>
      <c r="G39" s="105">
        <v>1</v>
      </c>
      <c r="H39" s="59">
        <f t="shared" si="10"/>
        <v>1904</v>
      </c>
      <c r="I39" s="59">
        <f t="shared" si="9"/>
        <v>800</v>
      </c>
      <c r="J39" s="65">
        <f t="shared" si="11"/>
        <v>1</v>
      </c>
      <c r="K39" s="66">
        <f t="shared" si="12"/>
        <v>1</v>
      </c>
      <c r="L39" s="66">
        <f>+SUM(F37:F39)</f>
        <v>3340</v>
      </c>
      <c r="M39" s="67">
        <f>+SUM(D37:D39)</f>
        <v>1400</v>
      </c>
      <c r="N39" s="63"/>
      <c r="O39" s="151">
        <f>+Q39/M39</f>
        <v>2.4334285714285717</v>
      </c>
      <c r="P39" s="149"/>
      <c r="Q39" s="149">
        <f>+L39*(1+P36)</f>
        <v>3406.8</v>
      </c>
      <c r="R39" s="152">
        <f t="shared" si="13"/>
        <v>66.800000000000182</v>
      </c>
      <c r="T39" s="136" t="s">
        <v>59</v>
      </c>
      <c r="U39" s="125">
        <v>0.01</v>
      </c>
      <c r="V39" s="15" t="s">
        <v>86</v>
      </c>
      <c r="W39" s="125"/>
      <c r="X39" s="51" t="s">
        <v>89</v>
      </c>
      <c r="Y39" s="138"/>
      <c r="AD39" s="117" t="s">
        <v>61</v>
      </c>
      <c r="AE39" s="125"/>
      <c r="AF39" s="125"/>
      <c r="AG39" s="125"/>
      <c r="AH39" s="118">
        <v>0.22</v>
      </c>
      <c r="AI39" s="118" t="s">
        <v>90</v>
      </c>
      <c r="AL39" s="109">
        <v>400</v>
      </c>
    </row>
    <row r="40" spans="1:38" ht="15.75" customHeight="1" thickTop="1" x14ac:dyDescent="0.35">
      <c r="A40" s="121" t="s">
        <v>95</v>
      </c>
      <c r="B40" s="141">
        <f>+B39-U39</f>
        <v>2.3700000000000006</v>
      </c>
      <c r="C40" s="128"/>
      <c r="D40" s="129"/>
      <c r="E40" s="145">
        <f>+X41</f>
        <v>800</v>
      </c>
      <c r="F40" s="64">
        <f t="shared" si="8"/>
        <v>0</v>
      </c>
      <c r="G40" s="105"/>
      <c r="H40" s="59">
        <f t="shared" si="10"/>
        <v>0</v>
      </c>
      <c r="I40" s="59">
        <f t="shared" si="9"/>
        <v>0</v>
      </c>
      <c r="J40" s="65">
        <f t="shared" si="11"/>
        <v>0</v>
      </c>
      <c r="K40" s="66">
        <f t="shared" si="12"/>
        <v>1</v>
      </c>
      <c r="L40" s="66">
        <f>+SUM(F37:F40)</f>
        <v>3340</v>
      </c>
      <c r="M40" s="67">
        <f>+SUM(D37:D40)</f>
        <v>1400</v>
      </c>
      <c r="N40" s="63"/>
      <c r="O40" s="151">
        <f>+Q40/M40</f>
        <v>2.4334285714285717</v>
      </c>
      <c r="P40" s="149"/>
      <c r="Q40" s="149">
        <f>+L40*(1+P36)</f>
        <v>3406.8</v>
      </c>
      <c r="R40" s="152">
        <f t="shared" si="13"/>
        <v>66.800000000000182</v>
      </c>
      <c r="T40" s="136" t="s">
        <v>61</v>
      </c>
      <c r="U40" s="125">
        <v>0.16</v>
      </c>
      <c r="V40" s="51" t="s">
        <v>84</v>
      </c>
      <c r="Y40" s="137"/>
      <c r="AD40" s="117" t="s">
        <v>62</v>
      </c>
      <c r="AE40" s="125"/>
      <c r="AF40" s="125"/>
      <c r="AG40" s="125"/>
      <c r="AH40" s="118"/>
      <c r="AI40" s="118"/>
      <c r="AL40" s="109">
        <v>800</v>
      </c>
    </row>
    <row r="41" spans="1:38" ht="15" thickBot="1" x14ac:dyDescent="0.4">
      <c r="A41" s="122">
        <v>2.5</v>
      </c>
      <c r="B41" s="141">
        <f>+B40-U39</f>
        <v>2.3600000000000008</v>
      </c>
      <c r="C41" s="128"/>
      <c r="D41" s="129"/>
      <c r="E41" s="145">
        <f>+Y41</f>
        <v>2000</v>
      </c>
      <c r="F41" s="64">
        <f t="shared" si="8"/>
        <v>0</v>
      </c>
      <c r="G41" s="105"/>
      <c r="H41" s="59">
        <f t="shared" si="10"/>
        <v>0</v>
      </c>
      <c r="I41" s="59">
        <f t="shared" si="9"/>
        <v>0</v>
      </c>
      <c r="J41" s="65">
        <f t="shared" si="11"/>
        <v>0</v>
      </c>
      <c r="K41" s="66">
        <f t="shared" si="12"/>
        <v>1</v>
      </c>
      <c r="L41" s="66">
        <f>+SUM(F37:F41)</f>
        <v>3340</v>
      </c>
      <c r="M41" s="67">
        <f>+SUM(D37:D41)</f>
        <v>1400</v>
      </c>
      <c r="N41" s="63"/>
      <c r="O41" s="151">
        <f>+Q41/M41</f>
        <v>2.4334285714285717</v>
      </c>
      <c r="P41" s="149"/>
      <c r="Q41" s="149">
        <f>+L41*(1+P36)</f>
        <v>3406.8</v>
      </c>
      <c r="R41" s="152">
        <f t="shared" si="13"/>
        <v>66.800000000000182</v>
      </c>
      <c r="T41" s="136" t="s">
        <v>85</v>
      </c>
      <c r="U41" s="132">
        <v>100</v>
      </c>
      <c r="V41" s="132">
        <v>200</v>
      </c>
      <c r="W41" s="132">
        <v>400</v>
      </c>
      <c r="X41" s="132">
        <v>800</v>
      </c>
      <c r="Y41" s="133">
        <v>2000</v>
      </c>
      <c r="AD41" s="117"/>
      <c r="AE41" s="125"/>
      <c r="AF41" s="125"/>
      <c r="AG41" s="125"/>
      <c r="AH41" s="125"/>
      <c r="AI41" s="118"/>
      <c r="AL41" s="109">
        <v>1600</v>
      </c>
    </row>
    <row r="42" spans="1:38" ht="15.5" thickTop="1" thickBot="1" x14ac:dyDescent="0.4">
      <c r="A42" s="139" t="s">
        <v>91</v>
      </c>
      <c r="B42" s="141">
        <f>+B41-U39</f>
        <v>2.350000000000001</v>
      </c>
      <c r="C42" s="128"/>
      <c r="D42" s="129"/>
      <c r="E42" s="145">
        <f>+Y42</f>
        <v>0</v>
      </c>
      <c r="F42" s="64">
        <f t="shared" si="8"/>
        <v>0</v>
      </c>
      <c r="G42" s="105"/>
      <c r="H42" s="59">
        <f t="shared" si="10"/>
        <v>0</v>
      </c>
      <c r="I42" s="59">
        <f t="shared" si="9"/>
        <v>0</v>
      </c>
      <c r="J42" s="65">
        <f t="shared" si="11"/>
        <v>0</v>
      </c>
      <c r="K42" s="66">
        <f t="shared" si="12"/>
        <v>1</v>
      </c>
      <c r="L42" s="66">
        <f>+SUM(F37:F42)</f>
        <v>3340</v>
      </c>
      <c r="M42" s="67">
        <f>+SUM(D37:D42)</f>
        <v>1400</v>
      </c>
      <c r="N42" s="63"/>
      <c r="O42" s="151">
        <f t="shared" ref="O42:O47" si="14">+Q42/M42</f>
        <v>2.4334285714285717</v>
      </c>
      <c r="P42" s="149"/>
      <c r="Q42" s="149">
        <f>+L42*(1+P36)</f>
        <v>3406.8</v>
      </c>
      <c r="R42" s="152">
        <f t="shared" si="13"/>
        <v>66.800000000000182</v>
      </c>
      <c r="T42" s="2" t="s">
        <v>87</v>
      </c>
      <c r="U42" s="135">
        <v>0.02</v>
      </c>
      <c r="V42" s="126"/>
      <c r="W42" s="126"/>
      <c r="X42" s="126"/>
      <c r="Y42" s="120"/>
      <c r="AD42" s="119"/>
      <c r="AE42" s="126"/>
      <c r="AF42" s="126"/>
      <c r="AG42" s="126"/>
      <c r="AH42" s="126"/>
      <c r="AI42" s="120"/>
      <c r="AL42" s="109">
        <v>1300</v>
      </c>
    </row>
    <row r="43" spans="1:38" ht="15" customHeight="1" x14ac:dyDescent="0.35">
      <c r="A43" s="139">
        <f>+A41-U40</f>
        <v>2.34</v>
      </c>
      <c r="B43" s="141">
        <f>+B42-U39</f>
        <v>2.3400000000000012</v>
      </c>
      <c r="C43" s="128"/>
      <c r="D43" s="129"/>
      <c r="E43" s="145">
        <f>+Y43</f>
        <v>0</v>
      </c>
      <c r="F43" s="64">
        <f t="shared" si="8"/>
        <v>0</v>
      </c>
      <c r="G43" s="105"/>
      <c r="H43" s="59">
        <f t="shared" si="10"/>
        <v>0</v>
      </c>
      <c r="I43" s="59">
        <f t="shared" si="9"/>
        <v>0</v>
      </c>
      <c r="J43" s="65">
        <f t="shared" si="11"/>
        <v>0</v>
      </c>
      <c r="K43" s="66">
        <f t="shared" si="12"/>
        <v>1</v>
      </c>
      <c r="L43" s="66">
        <f>+SUM(F37:F43)</f>
        <v>3340</v>
      </c>
      <c r="M43" s="67">
        <f>+SUM(D37:D43)</f>
        <v>1400</v>
      </c>
      <c r="N43" s="63"/>
      <c r="O43" s="151">
        <f t="shared" si="14"/>
        <v>2.4334285714285717</v>
      </c>
      <c r="P43" s="149"/>
      <c r="Q43" s="149">
        <f>+L43*(1+P36)</f>
        <v>3406.8</v>
      </c>
      <c r="R43" s="152">
        <f t="shared" si="13"/>
        <v>66.800000000000182</v>
      </c>
      <c r="AE43" s="15"/>
      <c r="AF43" s="15"/>
      <c r="AG43" s="15"/>
      <c r="AH43" s="15"/>
      <c r="AL43" s="109">
        <v>2000</v>
      </c>
    </row>
    <row r="44" spans="1:38" ht="15" customHeight="1" x14ac:dyDescent="0.35">
      <c r="B44" s="141">
        <f>+B43-U39</f>
        <v>2.3300000000000014</v>
      </c>
      <c r="C44" s="128"/>
      <c r="D44" s="129"/>
      <c r="E44" s="145">
        <f>+Y44</f>
        <v>0</v>
      </c>
      <c r="F44" s="64">
        <f t="shared" si="8"/>
        <v>0</v>
      </c>
      <c r="G44" s="105"/>
      <c r="H44" s="59">
        <f t="shared" si="10"/>
        <v>0</v>
      </c>
      <c r="I44" s="59">
        <f t="shared" si="9"/>
        <v>0</v>
      </c>
      <c r="J44" s="65">
        <f t="shared" si="11"/>
        <v>0</v>
      </c>
      <c r="K44" s="66">
        <f t="shared" si="12"/>
        <v>1</v>
      </c>
      <c r="L44" s="66">
        <f>+SUM(F37:F44)</f>
        <v>3340</v>
      </c>
      <c r="M44" s="67">
        <f>+SUM(D37:D44)</f>
        <v>1400</v>
      </c>
      <c r="N44" s="63"/>
      <c r="O44" s="151">
        <f t="shared" si="14"/>
        <v>2.4334285714285717</v>
      </c>
      <c r="P44" s="149"/>
      <c r="Q44" s="149">
        <f>+L44*(1+P36)</f>
        <v>3406.8</v>
      </c>
      <c r="R44" s="152">
        <f t="shared" si="13"/>
        <v>66.800000000000182</v>
      </c>
      <c r="AL44" s="109">
        <v>2000</v>
      </c>
    </row>
    <row r="45" spans="1:38" ht="15" customHeight="1" x14ac:dyDescent="0.35">
      <c r="B45" s="141">
        <f>+B44-U39</f>
        <v>2.3200000000000016</v>
      </c>
      <c r="C45" s="128"/>
      <c r="D45" s="129"/>
      <c r="E45" s="145"/>
      <c r="F45" s="64">
        <f t="shared" si="8"/>
        <v>0</v>
      </c>
      <c r="G45" s="105"/>
      <c r="H45" s="59">
        <f t="shared" si="10"/>
        <v>0</v>
      </c>
      <c r="I45" s="59">
        <f t="shared" si="9"/>
        <v>0</v>
      </c>
      <c r="J45" s="65">
        <f t="shared" si="11"/>
        <v>0</v>
      </c>
      <c r="K45" s="66">
        <f t="shared" si="12"/>
        <v>1</v>
      </c>
      <c r="L45" s="66">
        <f>+SUM(F37:F45)</f>
        <v>3340</v>
      </c>
      <c r="M45" s="67">
        <f>+SUM(D37:D45)</f>
        <v>1400</v>
      </c>
      <c r="N45" s="63"/>
      <c r="O45" s="151">
        <f t="shared" si="14"/>
        <v>2.4334285714285717</v>
      </c>
      <c r="P45" s="149"/>
      <c r="Q45" s="149">
        <f>+L45*(1+P36)</f>
        <v>3406.8</v>
      </c>
      <c r="R45" s="152">
        <f t="shared" si="13"/>
        <v>66.800000000000182</v>
      </c>
      <c r="AL45" s="109">
        <v>2000</v>
      </c>
    </row>
    <row r="46" spans="1:38" ht="15" customHeight="1" x14ac:dyDescent="0.35">
      <c r="B46" s="141">
        <f>+B45-U39</f>
        <v>2.3100000000000018</v>
      </c>
      <c r="C46" s="128"/>
      <c r="D46" s="129"/>
      <c r="E46" s="145"/>
      <c r="F46" s="64">
        <f t="shared" si="8"/>
        <v>0</v>
      </c>
      <c r="G46" s="105"/>
      <c r="H46" s="59">
        <f t="shared" si="10"/>
        <v>0</v>
      </c>
      <c r="I46" s="59">
        <f t="shared" si="9"/>
        <v>0</v>
      </c>
      <c r="J46" s="65">
        <f t="shared" si="11"/>
        <v>0</v>
      </c>
      <c r="K46" s="66">
        <f t="shared" si="12"/>
        <v>1</v>
      </c>
      <c r="L46" s="66">
        <f>+SUM(F37:F46)</f>
        <v>3340</v>
      </c>
      <c r="M46" s="67">
        <f>+SUM(D37:D46)</f>
        <v>1400</v>
      </c>
      <c r="N46" s="63"/>
      <c r="O46" s="151">
        <f t="shared" si="14"/>
        <v>2.4334285714285717</v>
      </c>
      <c r="P46" s="149"/>
      <c r="Q46" s="149">
        <f>+L46*(1+P36)</f>
        <v>3406.8</v>
      </c>
      <c r="R46" s="152">
        <f t="shared" si="13"/>
        <v>66.800000000000182</v>
      </c>
    </row>
    <row r="47" spans="1:38" ht="15" customHeight="1" x14ac:dyDescent="0.35">
      <c r="B47" s="143">
        <f>+B46-U39</f>
        <v>2.300000000000002</v>
      </c>
      <c r="C47" s="128"/>
      <c r="D47" s="129"/>
      <c r="E47" s="130"/>
      <c r="F47" s="64">
        <f t="shared" si="8"/>
        <v>0</v>
      </c>
      <c r="G47" s="106"/>
      <c r="H47" s="59">
        <f t="shared" si="10"/>
        <v>0</v>
      </c>
      <c r="I47" s="59">
        <f t="shared" si="9"/>
        <v>0</v>
      </c>
      <c r="J47" s="65">
        <f>(+G47-G48)*G47</f>
        <v>0</v>
      </c>
      <c r="K47" s="66">
        <f>1-G48</f>
        <v>1</v>
      </c>
      <c r="L47" s="66">
        <f>+SUM(F37:F47)</f>
        <v>3340</v>
      </c>
      <c r="M47" s="67">
        <f>+SUM(D38:D48)</f>
        <v>1200</v>
      </c>
      <c r="N47" s="63"/>
      <c r="O47" s="151">
        <f t="shared" si="14"/>
        <v>2.839</v>
      </c>
      <c r="P47" s="149"/>
      <c r="Q47" s="149">
        <f>+L47*(1+P36)</f>
        <v>3406.8</v>
      </c>
      <c r="R47" s="152">
        <f t="shared" si="13"/>
        <v>66.800000000000182</v>
      </c>
    </row>
    <row r="48" spans="1:38" ht="15" customHeight="1" x14ac:dyDescent="0.35">
      <c r="A48" t="s">
        <v>54</v>
      </c>
      <c r="B48" s="141"/>
      <c r="C48" s="128"/>
      <c r="D48" s="129"/>
      <c r="E48" s="130"/>
      <c r="F48" s="64"/>
      <c r="G48" s="106"/>
      <c r="H48" s="59">
        <f t="shared" si="10"/>
        <v>0</v>
      </c>
      <c r="I48" s="59">
        <f t="shared" si="9"/>
        <v>0</v>
      </c>
      <c r="J48" s="65">
        <f>(+G48-G49)*G48</f>
        <v>0</v>
      </c>
      <c r="K48" s="66">
        <f>1-G49</f>
        <v>1</v>
      </c>
      <c r="L48" s="66">
        <f>+SUM(F37:F48)</f>
        <v>3340</v>
      </c>
      <c r="M48" s="67">
        <f>+SUM(D37:D48)</f>
        <v>1400</v>
      </c>
      <c r="N48" s="63"/>
      <c r="O48" s="151">
        <f>+Q48/M48</f>
        <v>2.4334285714285717</v>
      </c>
      <c r="P48" s="149"/>
      <c r="Q48" s="149">
        <f>+L48*(1+P36)</f>
        <v>3406.8</v>
      </c>
      <c r="R48" s="152">
        <f>+Q48-L48</f>
        <v>66.800000000000182</v>
      </c>
    </row>
    <row r="49" spans="1:35" ht="15.75" customHeight="1" thickBot="1" x14ac:dyDescent="0.4">
      <c r="B49" s="142"/>
      <c r="C49" s="128"/>
      <c r="D49" s="129"/>
      <c r="E49" s="131"/>
      <c r="F49" s="68"/>
      <c r="G49" s="107"/>
      <c r="H49" s="69"/>
      <c r="I49" s="69">
        <f t="shared" si="9"/>
        <v>0</v>
      </c>
      <c r="J49" s="70">
        <f>(+G49-G50)*G49</f>
        <v>0</v>
      </c>
      <c r="K49" s="71">
        <f>1-G50</f>
        <v>1</v>
      </c>
      <c r="L49" s="71"/>
      <c r="M49" s="72"/>
      <c r="N49" s="73"/>
      <c r="O49" s="153"/>
      <c r="P49" s="154"/>
      <c r="Q49" s="154"/>
      <c r="R49" s="155"/>
    </row>
    <row r="50" spans="1:35" ht="15.5" thickTop="1" thickBot="1" x14ac:dyDescent="0.4">
      <c r="C50" s="74"/>
      <c r="D50" s="177" t="s">
        <v>41</v>
      </c>
      <c r="E50" s="178"/>
      <c r="F50" s="75" t="s">
        <v>42</v>
      </c>
      <c r="G50" s="76"/>
      <c r="H50" s="15"/>
      <c r="I50" s="15"/>
      <c r="J50" s="15"/>
      <c r="K50" s="15"/>
      <c r="L50" s="15"/>
      <c r="M50" s="15"/>
      <c r="N50" s="77"/>
      <c r="O50" s="156" t="s">
        <v>46</v>
      </c>
      <c r="P50" s="157">
        <f>+P36</f>
        <v>0.02</v>
      </c>
      <c r="Q50" s="158" t="s">
        <v>25</v>
      </c>
      <c r="R50" s="158" t="s">
        <v>26</v>
      </c>
      <c r="S50" s="78"/>
    </row>
    <row r="51" spans="1:35" ht="15" thickBot="1" x14ac:dyDescent="0.4">
      <c r="C51" s="79"/>
      <c r="D51" s="179">
        <f>+D37*G37+D38*G38+D39*G39+D40*G40+D41*G41+D42*G42+D43*G43+D44*G44+D45*G45+D46*G46+D47*G47+D48*G48+D49*G49</f>
        <v>1400</v>
      </c>
      <c r="E51" s="180"/>
      <c r="F51" s="80">
        <f>+F37*G37+F38*G38+F39*G39+F40*G40+F41*G41+F42*G42+F43*G43+F44*G44+F45*G45+F46*G46+F47*G47+F48*G48+F49*G49</f>
        <v>3340</v>
      </c>
      <c r="G51" s="81"/>
      <c r="H51" s="15"/>
      <c r="I51" s="15"/>
      <c r="J51" s="15"/>
      <c r="K51" s="15"/>
      <c r="L51" s="15"/>
      <c r="M51" s="15"/>
      <c r="N51" s="77"/>
      <c r="O51" s="191">
        <f>+Q51/D51</f>
        <v>2.4334285714285717</v>
      </c>
      <c r="P51" s="192"/>
      <c r="Q51" s="159">
        <f>+F51*(1+P36)</f>
        <v>3406.8</v>
      </c>
      <c r="R51" s="159">
        <f>+Q51-F51</f>
        <v>66.800000000000182</v>
      </c>
      <c r="S51" s="82">
        <f>+(Q51/F51-1)</f>
        <v>2.0000000000000018E-2</v>
      </c>
    </row>
    <row r="52" spans="1:35" ht="15.5" thickTop="1" thickBot="1" x14ac:dyDescent="0.4">
      <c r="D52" s="83"/>
      <c r="E52" s="83"/>
      <c r="O52" s="160"/>
      <c r="R52" s="161"/>
    </row>
    <row r="53" spans="1:35" ht="22" thickTop="1" thickBot="1" x14ac:dyDescent="0.4">
      <c r="C53" s="84"/>
      <c r="D53" s="147" t="s">
        <v>43</v>
      </c>
      <c r="E53" s="148"/>
      <c r="F53" s="85">
        <f>+SUM(F37:F50)</f>
        <v>3340</v>
      </c>
    </row>
    <row r="54" spans="1:35" ht="15.5" thickTop="1" thickBot="1" x14ac:dyDescent="0.4">
      <c r="C54" s="84"/>
      <c r="D54" s="86"/>
      <c r="E54" s="86"/>
      <c r="F54" s="87"/>
      <c r="O54" s="177" t="s">
        <v>47</v>
      </c>
      <c r="P54" s="205"/>
      <c r="Q54" s="158" t="s">
        <v>25</v>
      </c>
      <c r="R54" s="158" t="s">
        <v>26</v>
      </c>
      <c r="AE54" s="15"/>
      <c r="AF54" s="15"/>
      <c r="AG54" s="15"/>
      <c r="AH54" s="15"/>
    </row>
    <row r="55" spans="1:35" x14ac:dyDescent="0.35">
      <c r="C55" s="84"/>
      <c r="D55" s="88"/>
      <c r="E55" s="88"/>
      <c r="F55" s="89" t="s">
        <v>55</v>
      </c>
      <c r="G55" s="90"/>
      <c r="H55" s="90"/>
      <c r="I55" s="90"/>
      <c r="J55" s="90"/>
      <c r="K55" s="90"/>
      <c r="L55" s="90"/>
      <c r="M55" s="90"/>
      <c r="N55" s="91"/>
      <c r="O55" s="196">
        <f>(C37+(C38*J38+C39*J39+C40*J40+C41*J41+C42*J42+C43*J43+C44*J44+C45*J45+C46*J46+C47*J47+C48*J48+C49*J49))/2</f>
        <v>2.3899999999999997</v>
      </c>
      <c r="P55" s="197"/>
      <c r="Q55" s="162">
        <f>+O55*D51</f>
        <v>3345.9999999999995</v>
      </c>
      <c r="R55" s="162">
        <f>+Q55-F51</f>
        <v>5.9999999999995453</v>
      </c>
      <c r="S55" s="92">
        <f>+(Q55/F51-1)</f>
        <v>1.796407185628679E-3</v>
      </c>
      <c r="AE55" s="15"/>
      <c r="AF55" s="15"/>
      <c r="AG55" s="15"/>
      <c r="AH55" s="15"/>
    </row>
    <row r="56" spans="1:35" x14ac:dyDescent="0.35">
      <c r="D56" s="93"/>
      <c r="E56" s="93"/>
      <c r="F56" s="94" t="s">
        <v>56</v>
      </c>
      <c r="G56" s="95"/>
      <c r="H56" s="95"/>
      <c r="I56" s="95"/>
      <c r="J56" s="95"/>
      <c r="K56" s="95"/>
      <c r="L56" s="95"/>
      <c r="M56" s="95"/>
      <c r="N56" s="96"/>
      <c r="O56" s="198">
        <f>(2*C37+(C38*J38+C39*J39+C40*J40+C41*J41+C42*J42+C43*J43+C44*J44+C45*J45+C46*J46+C47*J47+C48*J48+C49*J49))/3</f>
        <v>2.3933333333333331</v>
      </c>
      <c r="P56" s="199"/>
      <c r="Q56" s="163">
        <f>+O56*D51</f>
        <v>3350.6666666666665</v>
      </c>
      <c r="R56" s="163">
        <f>+Q56-F51</f>
        <v>10.666666666666515</v>
      </c>
      <c r="S56" s="97">
        <f>+(Q56/F51-1)</f>
        <v>3.1936127744509601E-3</v>
      </c>
      <c r="AE56" s="15"/>
      <c r="AF56" s="15"/>
      <c r="AG56" s="15"/>
      <c r="AH56" s="15"/>
    </row>
    <row r="57" spans="1:35" ht="15" thickBot="1" x14ac:dyDescent="0.4">
      <c r="D57" s="93"/>
      <c r="E57" s="93"/>
      <c r="F57" s="98" t="s">
        <v>57</v>
      </c>
      <c r="G57" s="99"/>
      <c r="H57" s="99"/>
      <c r="I57" s="99"/>
      <c r="J57" s="99"/>
      <c r="K57" s="99"/>
      <c r="L57" s="99"/>
      <c r="M57" s="99"/>
      <c r="N57" s="100"/>
      <c r="O57" s="200">
        <f>+C37</f>
        <v>2.4</v>
      </c>
      <c r="P57" s="201"/>
      <c r="Q57" s="164">
        <f>+O57*D51</f>
        <v>3360</v>
      </c>
      <c r="R57" s="164">
        <f>+Q57-F51</f>
        <v>20</v>
      </c>
      <c r="S57" s="101">
        <f>+(Q57/F51-1)</f>
        <v>5.9880239520957446E-3</v>
      </c>
      <c r="AE57" s="15"/>
      <c r="AF57" s="15"/>
      <c r="AG57" s="15"/>
      <c r="AH57" s="15"/>
    </row>
    <row r="58" spans="1:35" x14ac:dyDescent="0.35">
      <c r="AE58" s="15"/>
      <c r="AF58" s="15"/>
      <c r="AG58" s="15"/>
      <c r="AH58" s="15"/>
    </row>
    <row r="59" spans="1:35" ht="15" thickBot="1" x14ac:dyDescent="0.4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3"/>
      <c r="P59" s="103"/>
      <c r="Q59" s="103"/>
      <c r="R59" s="103"/>
      <c r="S59" s="103"/>
      <c r="T59" s="102"/>
      <c r="U59" s="103"/>
      <c r="V59" s="103"/>
      <c r="W59" s="103"/>
      <c r="X59" s="103"/>
      <c r="Y59" s="102"/>
      <c r="AD59" s="102"/>
      <c r="AE59" s="103"/>
      <c r="AF59" s="103"/>
      <c r="AG59" s="103"/>
      <c r="AH59" s="103"/>
      <c r="AI59" s="102"/>
    </row>
    <row r="60" spans="1:35" ht="15" thickTop="1" x14ac:dyDescent="0.35">
      <c r="S60" s="51"/>
      <c r="AE60" s="15"/>
      <c r="AF60" s="15"/>
      <c r="AG60" s="15"/>
      <c r="AH60" s="15"/>
    </row>
    <row r="61" spans="1:35" ht="15" thickBot="1" x14ac:dyDescent="0.4">
      <c r="O61" s="193" t="s">
        <v>51</v>
      </c>
      <c r="P61" s="193"/>
      <c r="Q61" s="193"/>
      <c r="R61" s="193"/>
      <c r="AE61" s="15"/>
      <c r="AF61" s="15"/>
      <c r="AG61" s="15"/>
      <c r="AH61" s="15"/>
    </row>
    <row r="62" spans="1:35" ht="16.5" customHeight="1" thickTop="1" thickBot="1" x14ac:dyDescent="0.4">
      <c r="A62" s="184" t="s">
        <v>27</v>
      </c>
      <c r="B62" s="187" t="s">
        <v>40</v>
      </c>
      <c r="C62" s="188"/>
      <c r="D62" s="189" t="s">
        <v>24</v>
      </c>
      <c r="E62" s="190"/>
      <c r="F62" s="52" t="s">
        <v>23</v>
      </c>
      <c r="G62" s="53" t="s">
        <v>34</v>
      </c>
      <c r="H62" s="54" t="s">
        <v>48</v>
      </c>
      <c r="I62" s="54" t="s">
        <v>49</v>
      </c>
      <c r="J62" s="55" t="s">
        <v>38</v>
      </c>
      <c r="K62" s="56" t="s">
        <v>39</v>
      </c>
      <c r="L62" s="56" t="s">
        <v>35</v>
      </c>
      <c r="M62" s="57" t="s">
        <v>50</v>
      </c>
      <c r="N62" s="15"/>
      <c r="O62" s="149" t="s">
        <v>45</v>
      </c>
      <c r="P62" s="150">
        <f>+U68</f>
        <v>0.02</v>
      </c>
      <c r="Q62" s="149" t="s">
        <v>25</v>
      </c>
      <c r="R62" s="149" t="s">
        <v>26</v>
      </c>
      <c r="T62" s="181" t="s">
        <v>58</v>
      </c>
      <c r="U62" s="182"/>
      <c r="V62" s="182"/>
      <c r="W62" s="182"/>
      <c r="X62" s="182"/>
      <c r="Y62" s="183"/>
      <c r="AD62" s="115" t="s">
        <v>58</v>
      </c>
      <c r="AE62" s="124"/>
      <c r="AF62" s="124"/>
      <c r="AG62" s="124"/>
      <c r="AH62" s="124"/>
      <c r="AI62" s="116"/>
    </row>
    <row r="63" spans="1:35" ht="15.75" customHeight="1" thickTop="1" x14ac:dyDescent="0.35">
      <c r="A63" s="185"/>
      <c r="B63" s="140">
        <f>+A67-U64</f>
        <v>468</v>
      </c>
      <c r="C63" s="127">
        <v>468</v>
      </c>
      <c r="D63" s="129">
        <v>1</v>
      </c>
      <c r="E63" s="144">
        <f>+U67</f>
        <v>0.2</v>
      </c>
      <c r="F63" s="58">
        <f t="shared" ref="F63:F70" si="15">+C63*D63</f>
        <v>468</v>
      </c>
      <c r="G63" s="105"/>
      <c r="H63" s="59">
        <f>+F63*G63</f>
        <v>0</v>
      </c>
      <c r="I63" s="59">
        <f t="shared" ref="I63:I75" si="16">+D63*G63</f>
        <v>0</v>
      </c>
      <c r="J63" s="60">
        <f>(+G63-G64)*G63</f>
        <v>0</v>
      </c>
      <c r="K63" s="61">
        <f>1-G64</f>
        <v>1</v>
      </c>
      <c r="L63" s="61">
        <f>+SUM(F63)</f>
        <v>468</v>
      </c>
      <c r="M63" s="62">
        <f>+SUM(D63)</f>
        <v>1</v>
      </c>
      <c r="N63" s="63"/>
      <c r="O63" s="151">
        <f>(Q63/M63)</f>
        <v>477.36</v>
      </c>
      <c r="P63" s="149"/>
      <c r="Q63" s="149">
        <f>+L63*(1+P62)</f>
        <v>477.36</v>
      </c>
      <c r="R63" s="152">
        <f>+Q63-L63</f>
        <v>9.3600000000000136</v>
      </c>
      <c r="T63" s="136" t="s">
        <v>88</v>
      </c>
      <c r="U63" s="125">
        <f>+A67</f>
        <v>548</v>
      </c>
      <c r="Y63" s="137"/>
      <c r="AD63" s="117" t="s">
        <v>60</v>
      </c>
      <c r="AE63" s="125"/>
      <c r="AF63" s="125"/>
      <c r="AG63" s="125"/>
      <c r="AH63" s="125"/>
      <c r="AI63" s="118" t="s">
        <v>64</v>
      </c>
    </row>
    <row r="64" spans="1:35" ht="15" customHeight="1" x14ac:dyDescent="0.35">
      <c r="A64" s="185"/>
      <c r="B64" s="141">
        <f>+B63-U65</f>
        <v>458</v>
      </c>
      <c r="C64" s="128">
        <v>458</v>
      </c>
      <c r="D64" s="129">
        <v>2</v>
      </c>
      <c r="E64" s="145">
        <f>+V67</f>
        <v>0.4</v>
      </c>
      <c r="F64" s="64">
        <f t="shared" si="15"/>
        <v>916</v>
      </c>
      <c r="G64" s="105"/>
      <c r="H64" s="59">
        <f t="shared" ref="H64:H74" si="17">+F64*G64</f>
        <v>0</v>
      </c>
      <c r="I64" s="59">
        <f t="shared" si="16"/>
        <v>0</v>
      </c>
      <c r="J64" s="65">
        <f t="shared" ref="J64:J72" si="18">(+G64-G65)*G64</f>
        <v>0</v>
      </c>
      <c r="K64" s="66">
        <f t="shared" ref="K64:K72" si="19">1-G65</f>
        <v>1</v>
      </c>
      <c r="L64" s="66">
        <f>+SUM(F63:F64)</f>
        <v>1384</v>
      </c>
      <c r="M64" s="67">
        <f>+SUM(D63:D64)</f>
        <v>3</v>
      </c>
      <c r="N64" s="63"/>
      <c r="O64" s="151">
        <f>+Q64/M64</f>
        <v>470.56</v>
      </c>
      <c r="P64" s="149"/>
      <c r="Q64" s="149">
        <f>+L64*(1+P62)</f>
        <v>1411.68</v>
      </c>
      <c r="R64" s="152">
        <f t="shared" ref="R64:R73" si="20">+Q64-L64</f>
        <v>27.680000000000064</v>
      </c>
      <c r="T64" s="136" t="s">
        <v>60</v>
      </c>
      <c r="U64" s="125">
        <v>80</v>
      </c>
      <c r="V64" s="51" t="s">
        <v>84</v>
      </c>
      <c r="Y64" s="137"/>
      <c r="AD64" s="117" t="s">
        <v>59</v>
      </c>
      <c r="AE64" s="125"/>
      <c r="AF64" s="125"/>
      <c r="AG64" s="125"/>
      <c r="AH64" s="125"/>
      <c r="AI64" s="123">
        <v>10</v>
      </c>
    </row>
    <row r="65" spans="1:35" ht="15.75" customHeight="1" thickBot="1" x14ac:dyDescent="0.4">
      <c r="A65" s="186"/>
      <c r="B65" s="141">
        <f>+B64-U65</f>
        <v>448</v>
      </c>
      <c r="C65" s="128">
        <v>448</v>
      </c>
      <c r="D65" s="129">
        <v>4</v>
      </c>
      <c r="E65" s="145">
        <f>+W67</f>
        <v>1</v>
      </c>
      <c r="F65" s="64">
        <f t="shared" si="15"/>
        <v>1792</v>
      </c>
      <c r="G65" s="105"/>
      <c r="H65" s="59">
        <f t="shared" si="17"/>
        <v>0</v>
      </c>
      <c r="I65" s="59">
        <f t="shared" si="16"/>
        <v>0</v>
      </c>
      <c r="J65" s="65">
        <f t="shared" si="18"/>
        <v>0</v>
      </c>
      <c r="K65" s="66">
        <f t="shared" si="19"/>
        <v>1</v>
      </c>
      <c r="L65" s="66">
        <f>+SUM(F63:F65)</f>
        <v>3176</v>
      </c>
      <c r="M65" s="67">
        <f>+SUM(D63:D65)</f>
        <v>7</v>
      </c>
      <c r="N65" s="63"/>
      <c r="O65" s="151">
        <f>+Q65/M65</f>
        <v>462.7885714285714</v>
      </c>
      <c r="P65" s="149"/>
      <c r="Q65" s="149">
        <f>+L65*(1+P62)</f>
        <v>3239.52</v>
      </c>
      <c r="R65" s="152">
        <f t="shared" si="20"/>
        <v>63.519999999999982</v>
      </c>
      <c r="T65" s="136" t="s">
        <v>59</v>
      </c>
      <c r="U65" s="125">
        <v>10</v>
      </c>
      <c r="V65" s="15" t="s">
        <v>86</v>
      </c>
      <c r="W65" s="125"/>
      <c r="X65" s="51" t="s">
        <v>89</v>
      </c>
      <c r="Y65" s="138"/>
      <c r="AD65" s="117" t="s">
        <v>61</v>
      </c>
      <c r="AE65" s="125"/>
      <c r="AF65" s="125"/>
      <c r="AG65" s="125"/>
      <c r="AH65" s="125"/>
      <c r="AI65" s="118" t="s">
        <v>65</v>
      </c>
    </row>
    <row r="66" spans="1:35" ht="15" thickTop="1" x14ac:dyDescent="0.35">
      <c r="A66" s="121" t="s">
        <v>95</v>
      </c>
      <c r="B66" s="141">
        <f>+B65-U65</f>
        <v>438</v>
      </c>
      <c r="C66" s="128">
        <v>438</v>
      </c>
      <c r="D66" s="129">
        <v>8</v>
      </c>
      <c r="E66" s="145">
        <f>+X67</f>
        <v>3</v>
      </c>
      <c r="F66" s="64">
        <f t="shared" si="15"/>
        <v>3504</v>
      </c>
      <c r="G66" s="105"/>
      <c r="H66" s="59">
        <f t="shared" si="17"/>
        <v>0</v>
      </c>
      <c r="I66" s="59">
        <f t="shared" si="16"/>
        <v>0</v>
      </c>
      <c r="J66" s="65">
        <f t="shared" si="18"/>
        <v>0</v>
      </c>
      <c r="K66" s="66">
        <f t="shared" si="19"/>
        <v>1</v>
      </c>
      <c r="L66" s="66">
        <f>+SUM(F63:F66)</f>
        <v>6680</v>
      </c>
      <c r="M66" s="67">
        <f>+SUM(D63:D66)</f>
        <v>15</v>
      </c>
      <c r="N66" s="63"/>
      <c r="O66" s="151">
        <f>+Q66/M66</f>
        <v>454.24</v>
      </c>
      <c r="P66" s="149"/>
      <c r="Q66" s="149">
        <f>+L66*(1+P62)</f>
        <v>6813.6</v>
      </c>
      <c r="R66" s="152">
        <f t="shared" si="20"/>
        <v>133.60000000000036</v>
      </c>
      <c r="T66" s="136" t="s">
        <v>61</v>
      </c>
      <c r="U66" s="125">
        <v>100</v>
      </c>
      <c r="V66" s="51" t="s">
        <v>84</v>
      </c>
      <c r="Y66" s="137"/>
      <c r="AD66" s="117" t="s">
        <v>62</v>
      </c>
      <c r="AE66" s="125"/>
      <c r="AF66" s="125"/>
      <c r="AG66" s="125"/>
      <c r="AH66" s="125"/>
      <c r="AI66" s="118" t="s">
        <v>66</v>
      </c>
    </row>
    <row r="67" spans="1:35" ht="15" thickBot="1" x14ac:dyDescent="0.4">
      <c r="A67" s="122">
        <v>548</v>
      </c>
      <c r="B67" s="141">
        <f>+B66-U65</f>
        <v>428</v>
      </c>
      <c r="C67" s="128"/>
      <c r="D67" s="129">
        <v>16</v>
      </c>
      <c r="E67" s="145">
        <f>+Y67</f>
        <v>3</v>
      </c>
      <c r="F67" s="64">
        <f t="shared" si="15"/>
        <v>0</v>
      </c>
      <c r="G67" s="106"/>
      <c r="H67" s="59">
        <f t="shared" si="17"/>
        <v>0</v>
      </c>
      <c r="I67" s="59">
        <f t="shared" si="16"/>
        <v>0</v>
      </c>
      <c r="J67" s="65">
        <f t="shared" si="18"/>
        <v>0</v>
      </c>
      <c r="K67" s="66">
        <f t="shared" si="19"/>
        <v>1</v>
      </c>
      <c r="L67" s="66">
        <f>+SUM(F63:F67)</f>
        <v>6680</v>
      </c>
      <c r="M67" s="67">
        <f>+SUM(D63:D67)</f>
        <v>31</v>
      </c>
      <c r="N67" s="63"/>
      <c r="O67" s="151">
        <f>+Q67/M67</f>
        <v>219.79354838709679</v>
      </c>
      <c r="P67" s="149"/>
      <c r="Q67" s="149">
        <f>+L67*(1+P62)</f>
        <v>6813.6</v>
      </c>
      <c r="R67" s="152">
        <f t="shared" si="20"/>
        <v>133.60000000000036</v>
      </c>
      <c r="T67" s="136" t="s">
        <v>85</v>
      </c>
      <c r="U67" s="132">
        <v>0.2</v>
      </c>
      <c r="V67" s="132">
        <v>0.4</v>
      </c>
      <c r="W67" s="132">
        <v>1</v>
      </c>
      <c r="X67" s="132">
        <v>3</v>
      </c>
      <c r="Y67" s="133">
        <v>3</v>
      </c>
      <c r="AD67" s="117"/>
      <c r="AE67" s="125"/>
      <c r="AF67" s="125"/>
      <c r="AG67" s="125"/>
      <c r="AH67" s="125"/>
      <c r="AI67" s="118"/>
    </row>
    <row r="68" spans="1:35" ht="15" customHeight="1" thickTop="1" thickBot="1" x14ac:dyDescent="0.4">
      <c r="A68" s="139" t="s">
        <v>91</v>
      </c>
      <c r="B68" s="141">
        <f>+B67-U65</f>
        <v>418</v>
      </c>
      <c r="C68" s="128"/>
      <c r="D68" s="129"/>
      <c r="E68" s="145">
        <f>+Y68</f>
        <v>0</v>
      </c>
      <c r="F68" s="64">
        <f t="shared" si="15"/>
        <v>0</v>
      </c>
      <c r="G68" s="106"/>
      <c r="H68" s="59">
        <f t="shared" si="17"/>
        <v>0</v>
      </c>
      <c r="I68" s="59">
        <f t="shared" si="16"/>
        <v>0</v>
      </c>
      <c r="J68" s="65">
        <f t="shared" si="18"/>
        <v>0</v>
      </c>
      <c r="K68" s="66">
        <f t="shared" si="19"/>
        <v>1</v>
      </c>
      <c r="L68" s="66">
        <f>+SUM(F63:F68)</f>
        <v>6680</v>
      </c>
      <c r="M68" s="67">
        <f>+SUM(D63:D68)</f>
        <v>31</v>
      </c>
      <c r="N68" s="63"/>
      <c r="O68" s="151">
        <f t="shared" ref="O68:O73" si="21">+Q68/M68</f>
        <v>219.79354838709679</v>
      </c>
      <c r="P68" s="149"/>
      <c r="Q68" s="149">
        <f>+L68*(1+P62)</f>
        <v>6813.6</v>
      </c>
      <c r="R68" s="152">
        <f t="shared" si="20"/>
        <v>133.60000000000036</v>
      </c>
      <c r="T68" s="2" t="s">
        <v>87</v>
      </c>
      <c r="U68" s="135">
        <v>0.02</v>
      </c>
      <c r="V68" s="126"/>
      <c r="W68" s="126"/>
      <c r="X68" s="126"/>
      <c r="Y68" s="120"/>
      <c r="AD68" s="119"/>
      <c r="AE68" s="126"/>
      <c r="AF68" s="126"/>
      <c r="AG68" s="126"/>
      <c r="AH68" s="126"/>
      <c r="AI68" s="120"/>
    </row>
    <row r="69" spans="1:35" ht="15" customHeight="1" x14ac:dyDescent="0.35">
      <c r="A69" s="139">
        <f>+A67-U66</f>
        <v>448</v>
      </c>
      <c r="B69" s="141">
        <f>+B68-U65</f>
        <v>408</v>
      </c>
      <c r="C69" s="128"/>
      <c r="D69" s="129"/>
      <c r="E69" s="145">
        <f>+Y69</f>
        <v>0</v>
      </c>
      <c r="F69" s="64">
        <f t="shared" si="15"/>
        <v>0</v>
      </c>
      <c r="G69" s="106"/>
      <c r="H69" s="59">
        <f t="shared" si="17"/>
        <v>0</v>
      </c>
      <c r="I69" s="59">
        <f t="shared" si="16"/>
        <v>0</v>
      </c>
      <c r="J69" s="65">
        <f t="shared" si="18"/>
        <v>0</v>
      </c>
      <c r="K69" s="66">
        <f t="shared" si="19"/>
        <v>1</v>
      </c>
      <c r="L69" s="66">
        <f>+SUM(F63:F69)</f>
        <v>6680</v>
      </c>
      <c r="M69" s="67">
        <f>+SUM(D63:D69)</f>
        <v>31</v>
      </c>
      <c r="N69" s="63"/>
      <c r="O69" s="151">
        <f t="shared" si="21"/>
        <v>219.79354838709679</v>
      </c>
      <c r="P69" s="149"/>
      <c r="Q69" s="149">
        <f>+L69*(1+P62)</f>
        <v>6813.6</v>
      </c>
      <c r="R69" s="152">
        <f t="shared" si="20"/>
        <v>133.60000000000036</v>
      </c>
      <c r="AE69" s="15"/>
      <c r="AF69" s="15"/>
      <c r="AG69" s="15"/>
      <c r="AH69" s="15"/>
    </row>
    <row r="70" spans="1:35" ht="15" customHeight="1" x14ac:dyDescent="0.35">
      <c r="B70" s="141">
        <f>+B69-U65</f>
        <v>398</v>
      </c>
      <c r="C70" s="128"/>
      <c r="D70" s="129"/>
      <c r="E70" s="145">
        <f>+Y70</f>
        <v>0</v>
      </c>
      <c r="F70" s="64">
        <f t="shared" si="15"/>
        <v>0</v>
      </c>
      <c r="G70" s="106"/>
      <c r="H70" s="59">
        <f t="shared" si="17"/>
        <v>0</v>
      </c>
      <c r="I70" s="59">
        <f t="shared" si="16"/>
        <v>0</v>
      </c>
      <c r="J70" s="65">
        <f t="shared" si="18"/>
        <v>0</v>
      </c>
      <c r="K70" s="66">
        <f t="shared" si="19"/>
        <v>1</v>
      </c>
      <c r="L70" s="66">
        <f>+SUM(F63:F70)</f>
        <v>6680</v>
      </c>
      <c r="M70" s="67">
        <f>+SUM(D63:D70)</f>
        <v>31</v>
      </c>
      <c r="N70" s="63"/>
      <c r="O70" s="151">
        <f t="shared" si="21"/>
        <v>219.79354838709679</v>
      </c>
      <c r="P70" s="149"/>
      <c r="Q70" s="149">
        <f>+L70*(1+P62)</f>
        <v>6813.6</v>
      </c>
      <c r="R70" s="152">
        <f t="shared" si="20"/>
        <v>133.60000000000036</v>
      </c>
      <c r="AE70" s="15"/>
      <c r="AF70" s="15"/>
      <c r="AG70" s="15"/>
      <c r="AH70" s="15"/>
    </row>
    <row r="71" spans="1:35" ht="15" hidden="1" customHeight="1" x14ac:dyDescent="0.35">
      <c r="B71" s="141">
        <f>+B70-U65</f>
        <v>388</v>
      </c>
      <c r="C71" s="128"/>
      <c r="D71" s="129"/>
      <c r="E71" s="145"/>
      <c r="F71" s="64"/>
      <c r="G71" s="106"/>
      <c r="H71" s="59">
        <f t="shared" si="17"/>
        <v>0</v>
      </c>
      <c r="I71" s="59">
        <f t="shared" si="16"/>
        <v>0</v>
      </c>
      <c r="J71" s="65">
        <f t="shared" si="18"/>
        <v>0</v>
      </c>
      <c r="K71" s="66">
        <f t="shared" si="19"/>
        <v>1</v>
      </c>
      <c r="L71" s="66">
        <f>+SUM(F63:F71)</f>
        <v>6680</v>
      </c>
      <c r="M71" s="67">
        <f>+SUM(D63:D71)</f>
        <v>31</v>
      </c>
      <c r="N71" s="63"/>
      <c r="O71" s="151">
        <f t="shared" si="21"/>
        <v>219.79354838709679</v>
      </c>
      <c r="P71" s="149"/>
      <c r="Q71" s="149">
        <f>+L71*(1+P62)</f>
        <v>6813.6</v>
      </c>
      <c r="R71" s="152">
        <f t="shared" si="20"/>
        <v>133.60000000000036</v>
      </c>
      <c r="AE71" s="15"/>
      <c r="AF71" s="15"/>
      <c r="AG71" s="15"/>
      <c r="AH71" s="15"/>
    </row>
    <row r="72" spans="1:35" ht="15" hidden="1" customHeight="1" x14ac:dyDescent="0.35">
      <c r="B72" s="141">
        <f>+B71-U65</f>
        <v>378</v>
      </c>
      <c r="C72" s="128"/>
      <c r="D72" s="129"/>
      <c r="E72" s="145"/>
      <c r="F72" s="64"/>
      <c r="G72" s="106"/>
      <c r="H72" s="59">
        <f t="shared" si="17"/>
        <v>0</v>
      </c>
      <c r="I72" s="59">
        <f t="shared" si="16"/>
        <v>0</v>
      </c>
      <c r="J72" s="65">
        <f t="shared" si="18"/>
        <v>0</v>
      </c>
      <c r="K72" s="66">
        <f t="shared" si="19"/>
        <v>1</v>
      </c>
      <c r="L72" s="66">
        <f>+SUM(F63:F72)</f>
        <v>6680</v>
      </c>
      <c r="M72" s="67">
        <f>+SUM(D63:D72)</f>
        <v>31</v>
      </c>
      <c r="N72" s="63"/>
      <c r="O72" s="151">
        <f t="shared" si="21"/>
        <v>219.79354838709679</v>
      </c>
      <c r="P72" s="149"/>
      <c r="Q72" s="149">
        <f>+L72*(1+P62)</f>
        <v>6813.6</v>
      </c>
      <c r="R72" s="152">
        <f t="shared" si="20"/>
        <v>133.60000000000036</v>
      </c>
      <c r="AE72" s="15"/>
      <c r="AF72" s="15"/>
      <c r="AG72" s="15"/>
      <c r="AH72" s="15"/>
    </row>
    <row r="73" spans="1:35" ht="15" hidden="1" customHeight="1" x14ac:dyDescent="0.35">
      <c r="B73" s="141">
        <f>+B72-U65</f>
        <v>368</v>
      </c>
      <c r="C73" s="128"/>
      <c r="D73" s="129"/>
      <c r="E73" s="145"/>
      <c r="F73" s="64"/>
      <c r="G73" s="106"/>
      <c r="H73" s="59">
        <f t="shared" si="17"/>
        <v>0</v>
      </c>
      <c r="I73" s="59">
        <f t="shared" si="16"/>
        <v>0</v>
      </c>
      <c r="J73" s="65">
        <f>(+G73-G74)*G73</f>
        <v>0</v>
      </c>
      <c r="K73" s="66">
        <f>1-G74</f>
        <v>1</v>
      </c>
      <c r="L73" s="66">
        <f>+SUM(F63:F73)</f>
        <v>6680</v>
      </c>
      <c r="M73" s="67">
        <f>+SUM(D64:D74)</f>
        <v>30</v>
      </c>
      <c r="N73" s="63"/>
      <c r="O73" s="151">
        <f t="shared" si="21"/>
        <v>227.12</v>
      </c>
      <c r="P73" s="149"/>
      <c r="Q73" s="149">
        <f>+L73*(1+P62)</f>
        <v>6813.6</v>
      </c>
      <c r="R73" s="152">
        <f t="shared" si="20"/>
        <v>133.60000000000036</v>
      </c>
      <c r="AE73" s="15"/>
      <c r="AF73" s="15"/>
      <c r="AG73" s="15"/>
      <c r="AH73" s="15"/>
    </row>
    <row r="74" spans="1:35" ht="15" hidden="1" customHeight="1" x14ac:dyDescent="0.35">
      <c r="A74" t="s">
        <v>54</v>
      </c>
      <c r="B74" s="141"/>
      <c r="C74" s="128"/>
      <c r="D74" s="129"/>
      <c r="E74" s="145"/>
      <c r="F74" s="64"/>
      <c r="G74" s="106"/>
      <c r="H74" s="59">
        <f t="shared" si="17"/>
        <v>0</v>
      </c>
      <c r="I74" s="59">
        <f t="shared" si="16"/>
        <v>0</v>
      </c>
      <c r="J74" s="65">
        <f>(+G74-G75)*G74</f>
        <v>0</v>
      </c>
      <c r="K74" s="66">
        <f>1-G75</f>
        <v>1</v>
      </c>
      <c r="L74" s="66">
        <f>+SUM(F63:F74)</f>
        <v>6680</v>
      </c>
      <c r="M74" s="67">
        <f>+SUM(D63:D74)</f>
        <v>31</v>
      </c>
      <c r="N74" s="63"/>
      <c r="O74" s="151">
        <f>+Q74/M74</f>
        <v>219.79354838709679</v>
      </c>
      <c r="P74" s="149"/>
      <c r="Q74" s="149">
        <f>+L74*(1+P62)</f>
        <v>6813.6</v>
      </c>
      <c r="R74" s="152">
        <f>+Q74-L74</f>
        <v>133.60000000000036</v>
      </c>
      <c r="AE74" s="15"/>
      <c r="AF74" s="15"/>
      <c r="AG74" s="15"/>
      <c r="AH74" s="15"/>
    </row>
    <row r="75" spans="1:35" ht="15" thickBot="1" x14ac:dyDescent="0.4">
      <c r="B75" s="142"/>
      <c r="C75" s="128"/>
      <c r="D75" s="129"/>
      <c r="E75" s="146"/>
      <c r="F75" s="68"/>
      <c r="G75" s="107"/>
      <c r="H75" s="69"/>
      <c r="I75" s="69">
        <f t="shared" si="16"/>
        <v>0</v>
      </c>
      <c r="J75" s="70">
        <f>(+G75-G76)*G75</f>
        <v>0</v>
      </c>
      <c r="K75" s="71">
        <f>1-G76</f>
        <v>1</v>
      </c>
      <c r="L75" s="71"/>
      <c r="M75" s="72"/>
      <c r="N75" s="73"/>
      <c r="O75" s="153"/>
      <c r="P75" s="154"/>
      <c r="Q75" s="154"/>
      <c r="R75" s="155"/>
      <c r="AE75" s="15"/>
      <c r="AF75" s="15"/>
      <c r="AG75" s="15"/>
      <c r="AH75" s="15"/>
    </row>
    <row r="76" spans="1:35" ht="15.5" thickTop="1" thickBot="1" x14ac:dyDescent="0.4">
      <c r="C76" s="74"/>
      <c r="D76" s="177" t="s">
        <v>41</v>
      </c>
      <c r="E76" s="178"/>
      <c r="F76" s="75" t="s">
        <v>42</v>
      </c>
      <c r="G76" s="76"/>
      <c r="H76" s="15"/>
      <c r="I76" s="15"/>
      <c r="J76" s="15"/>
      <c r="K76" s="15"/>
      <c r="L76" s="15"/>
      <c r="M76" s="15"/>
      <c r="N76" s="77"/>
      <c r="O76" s="156" t="s">
        <v>46</v>
      </c>
      <c r="P76" s="157">
        <f>+P62</f>
        <v>0.02</v>
      </c>
      <c r="Q76" s="158" t="s">
        <v>25</v>
      </c>
      <c r="R76" s="158" t="s">
        <v>26</v>
      </c>
      <c r="S76" s="78"/>
      <c r="AE76" s="15"/>
      <c r="AF76" s="15"/>
      <c r="AG76" s="15"/>
      <c r="AH76" s="15"/>
    </row>
    <row r="77" spans="1:35" ht="15" thickBot="1" x14ac:dyDescent="0.4">
      <c r="C77" s="79"/>
      <c r="D77" s="179">
        <f>+D63*G63+D64*G64+D65*G65+D66*G66+D67*G67+D68*G68+D69*G69+D70*G70+D71*G71+D72*G72+D73*G73+D74*G74+D75*G75</f>
        <v>0</v>
      </c>
      <c r="E77" s="180"/>
      <c r="F77" s="80">
        <f>+F63*G63+F64*G64+F65*G65+F66*G66+F67*G67+F68*G68+F69*G69+F70*G70+F71*G71+F72*G72+F73*G73+F74*G74+F75*G75</f>
        <v>0</v>
      </c>
      <c r="G77" s="81"/>
      <c r="H77" s="15"/>
      <c r="I77" s="15"/>
      <c r="J77" s="15"/>
      <c r="K77" s="15"/>
      <c r="L77" s="15"/>
      <c r="M77" s="15"/>
      <c r="N77" s="77"/>
      <c r="O77" s="191" t="e">
        <f>+Q77/D77</f>
        <v>#DIV/0!</v>
      </c>
      <c r="P77" s="192"/>
      <c r="Q77" s="159">
        <f>+F77*(1+P62)</f>
        <v>0</v>
      </c>
      <c r="R77" s="159">
        <f>+Q77-F77</f>
        <v>0</v>
      </c>
      <c r="S77" s="82" t="e">
        <f>+(Q77/F77-1)</f>
        <v>#DIV/0!</v>
      </c>
      <c r="AE77" s="15"/>
      <c r="AF77" s="15"/>
      <c r="AG77" s="15"/>
      <c r="AH77" s="15"/>
    </row>
    <row r="78" spans="1:35" ht="15.5" thickTop="1" thickBot="1" x14ac:dyDescent="0.4">
      <c r="D78" s="83"/>
      <c r="E78" s="83"/>
      <c r="O78" s="160"/>
      <c r="R78" s="161"/>
      <c r="AE78" s="15"/>
      <c r="AF78" s="15"/>
      <c r="AG78" s="15"/>
      <c r="AH78" s="15"/>
    </row>
    <row r="79" spans="1:35" ht="22" thickTop="1" thickBot="1" x14ac:dyDescent="0.4">
      <c r="C79" s="84"/>
      <c r="D79" s="147" t="s">
        <v>43</v>
      </c>
      <c r="E79" s="148"/>
      <c r="F79" s="85">
        <f>+SUM(F63:F76)</f>
        <v>6680</v>
      </c>
      <c r="AE79" s="15"/>
      <c r="AF79" s="15"/>
      <c r="AG79" s="15"/>
      <c r="AH79" s="15"/>
    </row>
    <row r="80" spans="1:35" ht="15.5" thickTop="1" thickBot="1" x14ac:dyDescent="0.4">
      <c r="C80" s="84"/>
      <c r="D80" s="86"/>
      <c r="E80" s="86"/>
      <c r="F80" s="87"/>
      <c r="O80" s="177" t="s">
        <v>47</v>
      </c>
      <c r="P80" s="205"/>
      <c r="Q80" s="158" t="s">
        <v>25</v>
      </c>
      <c r="R80" s="158" t="s">
        <v>26</v>
      </c>
      <c r="AE80" s="15"/>
      <c r="AF80" s="15"/>
      <c r="AG80" s="15"/>
      <c r="AH80" s="15"/>
    </row>
    <row r="81" spans="1:35" x14ac:dyDescent="0.35">
      <c r="C81" s="84"/>
      <c r="D81" s="88"/>
      <c r="E81" s="88"/>
      <c r="F81" s="89" t="s">
        <v>55</v>
      </c>
      <c r="G81" s="90"/>
      <c r="H81" s="90"/>
      <c r="I81" s="90"/>
      <c r="J81" s="90"/>
      <c r="K81" s="90"/>
      <c r="L81" s="90"/>
      <c r="M81" s="90"/>
      <c r="N81" s="91"/>
      <c r="O81" s="196">
        <f>(C63+(C64*J64+C65*J65+C66*J66+C67*J67+C68*J68+C69*J69+C70*J70+C71*J71+C72*J72+C73*J73+C74*J74+C75*J75))/2</f>
        <v>234</v>
      </c>
      <c r="P81" s="197"/>
      <c r="Q81" s="162">
        <f>+O81*D77</f>
        <v>0</v>
      </c>
      <c r="R81" s="162">
        <f>+Q81-F77</f>
        <v>0</v>
      </c>
      <c r="S81" s="92" t="e">
        <f>+(Q81/F77-1)</f>
        <v>#DIV/0!</v>
      </c>
      <c r="AE81" s="15"/>
      <c r="AF81" s="15"/>
      <c r="AG81" s="15"/>
      <c r="AH81" s="15"/>
    </row>
    <row r="82" spans="1:35" x14ac:dyDescent="0.35">
      <c r="D82" s="93"/>
      <c r="E82" s="93"/>
      <c r="F82" s="94" t="s">
        <v>56</v>
      </c>
      <c r="G82" s="95"/>
      <c r="H82" s="95"/>
      <c r="I82" s="95"/>
      <c r="J82" s="95"/>
      <c r="K82" s="95"/>
      <c r="L82" s="95"/>
      <c r="M82" s="95"/>
      <c r="N82" s="96"/>
      <c r="O82" s="198">
        <f>(2*C63+(C64*J64+C65*J65+C66*J66+C67*J67+C68*J68+C69*J69+C70*J70+C71*J71+C72*J72+C73*J73+C74*J74+C75*J75))/3</f>
        <v>312</v>
      </c>
      <c r="P82" s="199"/>
      <c r="Q82" s="163">
        <f>+O82*D77</f>
        <v>0</v>
      </c>
      <c r="R82" s="163">
        <f>+Q82-F77</f>
        <v>0</v>
      </c>
      <c r="S82" s="97" t="e">
        <f>+(Q82/F77-1)</f>
        <v>#DIV/0!</v>
      </c>
      <c r="AE82" s="15"/>
      <c r="AF82" s="15"/>
      <c r="AG82" s="15"/>
      <c r="AH82" s="15"/>
    </row>
    <row r="83" spans="1:35" ht="15" thickBot="1" x14ac:dyDescent="0.4">
      <c r="D83" s="93"/>
      <c r="E83" s="93"/>
      <c r="F83" s="98" t="s">
        <v>57</v>
      </c>
      <c r="G83" s="99"/>
      <c r="H83" s="99"/>
      <c r="I83" s="99"/>
      <c r="J83" s="99"/>
      <c r="K83" s="99"/>
      <c r="L83" s="99"/>
      <c r="M83" s="99"/>
      <c r="N83" s="100"/>
      <c r="O83" s="200">
        <f>+C63</f>
        <v>468</v>
      </c>
      <c r="P83" s="201"/>
      <c r="Q83" s="164">
        <f>+O83*D77</f>
        <v>0</v>
      </c>
      <c r="R83" s="164">
        <f>+Q83-F77</f>
        <v>0</v>
      </c>
      <c r="S83" s="101" t="e">
        <f>+(Q83/F77-1)</f>
        <v>#DIV/0!</v>
      </c>
      <c r="AE83" s="15"/>
      <c r="AF83" s="15"/>
      <c r="AG83" s="15"/>
      <c r="AH83" s="15"/>
    </row>
    <row r="84" spans="1:35" x14ac:dyDescent="0.35">
      <c r="AE84" s="15"/>
      <c r="AF84" s="15"/>
      <c r="AG84" s="15"/>
      <c r="AH84" s="15"/>
    </row>
    <row r="85" spans="1:35" ht="15" thickBot="1" x14ac:dyDescent="0.4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3"/>
      <c r="P85" s="103"/>
      <c r="Q85" s="103"/>
      <c r="R85" s="103"/>
      <c r="S85" s="103"/>
      <c r="T85" s="102"/>
      <c r="U85" s="103"/>
      <c r="V85" s="103"/>
      <c r="W85" s="103"/>
      <c r="X85" s="103"/>
      <c r="Y85" s="102"/>
      <c r="AD85" s="102"/>
      <c r="AE85" s="103"/>
      <c r="AF85" s="103"/>
      <c r="AG85" s="103"/>
      <c r="AH85" s="103"/>
      <c r="AI85" s="102"/>
    </row>
    <row r="86" spans="1:35" ht="15" thickTop="1" x14ac:dyDescent="0.35">
      <c r="S86" s="51"/>
      <c r="AE86" s="15"/>
      <c r="AF86" s="15"/>
      <c r="AG86" s="15"/>
      <c r="AH86" s="15"/>
    </row>
    <row r="87" spans="1:35" ht="15" thickBot="1" x14ac:dyDescent="0.4">
      <c r="O87" s="193" t="s">
        <v>51</v>
      </c>
      <c r="P87" s="193"/>
      <c r="Q87" s="193"/>
      <c r="R87" s="193"/>
      <c r="AE87" s="15"/>
      <c r="AF87" s="15"/>
      <c r="AG87" s="15"/>
      <c r="AH87" s="15"/>
    </row>
    <row r="88" spans="1:35" ht="15.5" thickTop="1" thickBot="1" x14ac:dyDescent="0.4">
      <c r="A88" s="184" t="s">
        <v>32</v>
      </c>
      <c r="B88" s="187" t="s">
        <v>40</v>
      </c>
      <c r="C88" s="188"/>
      <c r="D88" s="189" t="s">
        <v>24</v>
      </c>
      <c r="E88" s="190"/>
      <c r="F88" s="52" t="s">
        <v>23</v>
      </c>
      <c r="G88" s="53" t="s">
        <v>34</v>
      </c>
      <c r="H88" s="54" t="s">
        <v>48</v>
      </c>
      <c r="I88" s="54" t="s">
        <v>49</v>
      </c>
      <c r="J88" s="55" t="s">
        <v>38</v>
      </c>
      <c r="K88" s="56" t="s">
        <v>39</v>
      </c>
      <c r="L88" s="56" t="s">
        <v>35</v>
      </c>
      <c r="M88" s="57" t="s">
        <v>50</v>
      </c>
      <c r="N88" s="15"/>
      <c r="O88" s="149" t="s">
        <v>45</v>
      </c>
      <c r="P88" s="150">
        <f>+U94</f>
        <v>0.02</v>
      </c>
      <c r="Q88" s="149" t="s">
        <v>25</v>
      </c>
      <c r="R88" s="149" t="s">
        <v>26</v>
      </c>
      <c r="T88" s="181" t="s">
        <v>58</v>
      </c>
      <c r="U88" s="182"/>
      <c r="V88" s="182"/>
      <c r="W88" s="182"/>
      <c r="X88" s="182"/>
      <c r="Y88" s="183"/>
      <c r="AD88" s="115" t="s">
        <v>58</v>
      </c>
      <c r="AE88" s="124"/>
      <c r="AF88" s="124"/>
      <c r="AG88" s="124"/>
      <c r="AH88" s="124"/>
      <c r="AI88" s="116"/>
    </row>
    <row r="89" spans="1:35" ht="15" thickTop="1" x14ac:dyDescent="0.35">
      <c r="A89" s="185"/>
      <c r="B89" s="140">
        <f>+A93-U90</f>
        <v>4.5000000000000005E-2</v>
      </c>
      <c r="C89" s="128">
        <v>0</v>
      </c>
      <c r="D89" s="129"/>
      <c r="E89" s="144">
        <f>+U93</f>
        <v>2000</v>
      </c>
      <c r="F89" s="58">
        <f t="shared" ref="F89:F96" si="22">+C89*D89</f>
        <v>0</v>
      </c>
      <c r="G89" s="105"/>
      <c r="H89" s="59">
        <f>+F89*G89</f>
        <v>0</v>
      </c>
      <c r="I89" s="59">
        <f t="shared" ref="I89:I101" si="23">+D89*G89</f>
        <v>0</v>
      </c>
      <c r="J89" s="60">
        <f>(+G89-G90)*G89</f>
        <v>0</v>
      </c>
      <c r="K89" s="61">
        <f>1-G90</f>
        <v>1</v>
      </c>
      <c r="L89" s="61">
        <f>+SUM(F89)</f>
        <v>0</v>
      </c>
      <c r="M89" s="62">
        <f>+SUM(D89)</f>
        <v>0</v>
      </c>
      <c r="N89" s="63"/>
      <c r="O89" s="151" t="e">
        <f>(Q89/M89)</f>
        <v>#DIV/0!</v>
      </c>
      <c r="P89" s="149"/>
      <c r="Q89" s="149">
        <f>+L89*(1+P88)</f>
        <v>0</v>
      </c>
      <c r="R89" s="152">
        <f>+Q89-L89</f>
        <v>0</v>
      </c>
      <c r="T89" s="136" t="s">
        <v>88</v>
      </c>
      <c r="U89" s="125">
        <f>+A93</f>
        <v>0.05</v>
      </c>
      <c r="Y89" s="137"/>
      <c r="AD89" s="117" t="s">
        <v>60</v>
      </c>
      <c r="AE89" s="125"/>
      <c r="AF89" s="125"/>
      <c r="AG89" s="125"/>
      <c r="AH89" s="125"/>
      <c r="AI89" s="118" t="s">
        <v>67</v>
      </c>
    </row>
    <row r="90" spans="1:35" x14ac:dyDescent="0.35">
      <c r="A90" s="185"/>
      <c r="B90" s="141">
        <f>+B89-U91</f>
        <v>4.3000000000000003E-2</v>
      </c>
      <c r="C90" s="128"/>
      <c r="D90" s="129"/>
      <c r="E90" s="145">
        <f>+V93</f>
        <v>4000</v>
      </c>
      <c r="F90" s="64">
        <f t="shared" si="22"/>
        <v>0</v>
      </c>
      <c r="G90" s="105"/>
      <c r="H90" s="59">
        <f t="shared" ref="H90:H100" si="24">+F90*G90</f>
        <v>0</v>
      </c>
      <c r="I90" s="59">
        <f t="shared" si="23"/>
        <v>0</v>
      </c>
      <c r="J90" s="65">
        <f t="shared" ref="J90:J98" si="25">(+G90-G91)*G90</f>
        <v>0</v>
      </c>
      <c r="K90" s="66">
        <f t="shared" ref="K90:K98" si="26">1-G91</f>
        <v>1</v>
      </c>
      <c r="L90" s="66">
        <f>+SUM(F89:F90)</f>
        <v>0</v>
      </c>
      <c r="M90" s="67">
        <f>+SUM(D89:D90)</f>
        <v>0</v>
      </c>
      <c r="N90" s="63"/>
      <c r="O90" s="151" t="e">
        <f>+Q90/M90</f>
        <v>#DIV/0!</v>
      </c>
      <c r="P90" s="149"/>
      <c r="Q90" s="149">
        <f>+L90*(1+P88)</f>
        <v>0</v>
      </c>
      <c r="R90" s="152">
        <f t="shared" ref="R90:R99" si="27">+Q90-L90</f>
        <v>0</v>
      </c>
      <c r="T90" s="136" t="s">
        <v>60</v>
      </c>
      <c r="U90" s="125">
        <v>5.0000000000000001E-3</v>
      </c>
      <c r="V90" s="51" t="s">
        <v>84</v>
      </c>
      <c r="Y90" s="137"/>
      <c r="AD90" s="117" t="s">
        <v>59</v>
      </c>
      <c r="AE90" s="125"/>
      <c r="AF90" s="125"/>
      <c r="AG90" s="125"/>
      <c r="AH90" s="125"/>
      <c r="AI90" s="123">
        <v>2E-3</v>
      </c>
    </row>
    <row r="91" spans="1:35" ht="15" thickBot="1" x14ac:dyDescent="0.4">
      <c r="A91" s="186"/>
      <c r="B91" s="141">
        <f>+B90-U91</f>
        <v>4.1000000000000002E-2</v>
      </c>
      <c r="C91" s="128"/>
      <c r="D91" s="129"/>
      <c r="E91" s="145">
        <f>+W93</f>
        <v>10000</v>
      </c>
      <c r="F91" s="64">
        <f t="shared" si="22"/>
        <v>0</v>
      </c>
      <c r="G91" s="105"/>
      <c r="H91" s="59">
        <f t="shared" si="24"/>
        <v>0</v>
      </c>
      <c r="I91" s="59">
        <f t="shared" si="23"/>
        <v>0</v>
      </c>
      <c r="J91" s="65">
        <f t="shared" si="25"/>
        <v>0</v>
      </c>
      <c r="K91" s="66">
        <f t="shared" si="26"/>
        <v>1</v>
      </c>
      <c r="L91" s="66">
        <f>+SUM(F89:F91)</f>
        <v>0</v>
      </c>
      <c r="M91" s="67">
        <f>+SUM(D89:D91)</f>
        <v>0</v>
      </c>
      <c r="N91" s="63"/>
      <c r="O91" s="151" t="e">
        <f>+Q91/M91</f>
        <v>#DIV/0!</v>
      </c>
      <c r="P91" s="149"/>
      <c r="Q91" s="149">
        <f>+L91*(1+P88)</f>
        <v>0</v>
      </c>
      <c r="R91" s="152">
        <f t="shared" si="27"/>
        <v>0</v>
      </c>
      <c r="T91" s="136" t="s">
        <v>59</v>
      </c>
      <c r="U91" s="125">
        <v>2E-3</v>
      </c>
      <c r="V91" s="15" t="s">
        <v>86</v>
      </c>
      <c r="W91" s="125">
        <v>1E-3</v>
      </c>
      <c r="X91" s="51" t="s">
        <v>89</v>
      </c>
      <c r="Y91" s="138"/>
      <c r="AD91" s="117" t="s">
        <v>61</v>
      </c>
      <c r="AE91" s="125"/>
      <c r="AF91" s="125"/>
      <c r="AG91" s="125"/>
      <c r="AH91" s="125"/>
      <c r="AI91" s="118" t="s">
        <v>68</v>
      </c>
    </row>
    <row r="92" spans="1:35" ht="15" thickTop="1" x14ac:dyDescent="0.35">
      <c r="A92" s="121" t="s">
        <v>95</v>
      </c>
      <c r="B92" s="141">
        <f>+B91-U91</f>
        <v>3.9E-2</v>
      </c>
      <c r="C92" s="128"/>
      <c r="D92" s="129"/>
      <c r="E92" s="145">
        <f>+X93</f>
        <v>25000</v>
      </c>
      <c r="F92" s="64">
        <f t="shared" si="22"/>
        <v>0</v>
      </c>
      <c r="G92" s="105"/>
      <c r="H92" s="59">
        <f t="shared" si="24"/>
        <v>0</v>
      </c>
      <c r="I92" s="59">
        <f t="shared" si="23"/>
        <v>0</v>
      </c>
      <c r="J92" s="65">
        <f t="shared" si="25"/>
        <v>0</v>
      </c>
      <c r="K92" s="66">
        <f t="shared" si="26"/>
        <v>1</v>
      </c>
      <c r="L92" s="66">
        <f>+SUM(F89:F92)</f>
        <v>0</v>
      </c>
      <c r="M92" s="67">
        <f>+SUM(D89:D92)</f>
        <v>0</v>
      </c>
      <c r="N92" s="63"/>
      <c r="O92" s="151" t="e">
        <f>+Q92/M92</f>
        <v>#DIV/0!</v>
      </c>
      <c r="P92" s="149"/>
      <c r="Q92" s="149">
        <f>+L92*(1+P88)</f>
        <v>0</v>
      </c>
      <c r="R92" s="152">
        <f t="shared" si="27"/>
        <v>0</v>
      </c>
      <c r="T92" s="136" t="s">
        <v>61</v>
      </c>
      <c r="U92" s="125">
        <v>1.2999999999999999E-2</v>
      </c>
      <c r="V92" s="51" t="s">
        <v>84</v>
      </c>
      <c r="Y92" s="137"/>
      <c r="AD92" s="117" t="s">
        <v>62</v>
      </c>
      <c r="AE92" s="125"/>
      <c r="AF92" s="125"/>
      <c r="AG92" s="125"/>
      <c r="AH92" s="125"/>
      <c r="AI92" s="118" t="s">
        <v>63</v>
      </c>
    </row>
    <row r="93" spans="1:35" ht="15" thickBot="1" x14ac:dyDescent="0.4">
      <c r="A93" s="122">
        <v>0.05</v>
      </c>
      <c r="B93" s="141">
        <f>+B92-U91</f>
        <v>3.6999999999999998E-2</v>
      </c>
      <c r="C93" s="128"/>
      <c r="D93" s="129"/>
      <c r="E93" s="145">
        <f>+Y93</f>
        <v>50000</v>
      </c>
      <c r="F93" s="64">
        <f t="shared" si="22"/>
        <v>0</v>
      </c>
      <c r="G93" s="106"/>
      <c r="H93" s="59">
        <f t="shared" si="24"/>
        <v>0</v>
      </c>
      <c r="I93" s="59">
        <f t="shared" si="23"/>
        <v>0</v>
      </c>
      <c r="J93" s="65">
        <f t="shared" si="25"/>
        <v>0</v>
      </c>
      <c r="K93" s="66">
        <f t="shared" si="26"/>
        <v>1</v>
      </c>
      <c r="L93" s="66">
        <f>+SUM(F89:F93)</f>
        <v>0</v>
      </c>
      <c r="M93" s="67">
        <f>+SUM(D89:D93)</f>
        <v>0</v>
      </c>
      <c r="N93" s="63"/>
      <c r="O93" s="151" t="e">
        <f>+Q93/M93</f>
        <v>#DIV/0!</v>
      </c>
      <c r="P93" s="149"/>
      <c r="Q93" s="149">
        <f>+L93*(1+P88)</f>
        <v>0</v>
      </c>
      <c r="R93" s="152">
        <f t="shared" si="27"/>
        <v>0</v>
      </c>
      <c r="T93" s="136" t="s">
        <v>85</v>
      </c>
      <c r="U93" s="132">
        <v>2000</v>
      </c>
      <c r="V93" s="132">
        <v>4000</v>
      </c>
      <c r="W93" s="132">
        <v>10000</v>
      </c>
      <c r="X93" s="132">
        <v>25000</v>
      </c>
      <c r="Y93" s="133">
        <v>50000</v>
      </c>
      <c r="AD93" s="117"/>
      <c r="AE93" s="125"/>
      <c r="AF93" s="125"/>
      <c r="AG93" s="125"/>
      <c r="AH93" s="125"/>
      <c r="AI93" s="118"/>
    </row>
    <row r="94" spans="1:35" ht="15" customHeight="1" thickTop="1" thickBot="1" x14ac:dyDescent="0.4">
      <c r="A94" s="139" t="s">
        <v>91</v>
      </c>
      <c r="B94" s="141">
        <f>+B93-U91</f>
        <v>3.4999999999999996E-2</v>
      </c>
      <c r="C94" s="128"/>
      <c r="D94" s="129"/>
      <c r="E94" s="145">
        <f>+Y94</f>
        <v>0</v>
      </c>
      <c r="F94" s="64">
        <f t="shared" si="22"/>
        <v>0</v>
      </c>
      <c r="G94" s="106"/>
      <c r="H94" s="59">
        <f t="shared" si="24"/>
        <v>0</v>
      </c>
      <c r="I94" s="59">
        <f t="shared" si="23"/>
        <v>0</v>
      </c>
      <c r="J94" s="65">
        <f t="shared" si="25"/>
        <v>0</v>
      </c>
      <c r="K94" s="66">
        <f t="shared" si="26"/>
        <v>1</v>
      </c>
      <c r="L94" s="66">
        <f>+SUM(F89:F94)</f>
        <v>0</v>
      </c>
      <c r="M94" s="67">
        <f>+SUM(D89:D94)</f>
        <v>0</v>
      </c>
      <c r="N94" s="63"/>
      <c r="O94" s="151" t="e">
        <f t="shared" ref="O94:O99" si="28">+Q94/M94</f>
        <v>#DIV/0!</v>
      </c>
      <c r="P94" s="149"/>
      <c r="Q94" s="149">
        <f>+L94*(1+P88)</f>
        <v>0</v>
      </c>
      <c r="R94" s="152">
        <f t="shared" si="27"/>
        <v>0</v>
      </c>
      <c r="T94" s="2" t="s">
        <v>87</v>
      </c>
      <c r="U94" s="135">
        <v>0.02</v>
      </c>
      <c r="V94" s="126"/>
      <c r="W94" s="126"/>
      <c r="X94" s="126"/>
      <c r="Y94" s="120"/>
      <c r="AD94" s="119"/>
      <c r="AE94" s="126"/>
      <c r="AF94" s="126"/>
      <c r="AG94" s="126"/>
      <c r="AH94" s="126"/>
      <c r="AI94" s="120"/>
    </row>
    <row r="95" spans="1:35" ht="15" customHeight="1" x14ac:dyDescent="0.35">
      <c r="A95" s="139">
        <f>+A93-U92</f>
        <v>3.7000000000000005E-2</v>
      </c>
      <c r="B95" s="141">
        <f>+B94-U91</f>
        <v>3.2999999999999995E-2</v>
      </c>
      <c r="C95" s="128"/>
      <c r="D95" s="129"/>
      <c r="E95" s="145">
        <f>+Y95</f>
        <v>0</v>
      </c>
      <c r="F95" s="64">
        <f t="shared" si="22"/>
        <v>0</v>
      </c>
      <c r="G95" s="106"/>
      <c r="H95" s="59">
        <f t="shared" si="24"/>
        <v>0</v>
      </c>
      <c r="I95" s="59">
        <f t="shared" si="23"/>
        <v>0</v>
      </c>
      <c r="J95" s="65">
        <f t="shared" si="25"/>
        <v>0</v>
      </c>
      <c r="K95" s="66">
        <f t="shared" si="26"/>
        <v>1</v>
      </c>
      <c r="L95" s="66">
        <f>+SUM(F89:F95)</f>
        <v>0</v>
      </c>
      <c r="M95" s="67">
        <f>+SUM(D89:D95)</f>
        <v>0</v>
      </c>
      <c r="N95" s="63"/>
      <c r="O95" s="151" t="e">
        <f t="shared" si="28"/>
        <v>#DIV/0!</v>
      </c>
      <c r="P95" s="149"/>
      <c r="Q95" s="149">
        <f>+L95*(1+P88)</f>
        <v>0</v>
      </c>
      <c r="R95" s="152">
        <f t="shared" si="27"/>
        <v>0</v>
      </c>
      <c r="AE95" s="15"/>
      <c r="AF95" s="15"/>
      <c r="AG95" s="15"/>
      <c r="AH95" s="15"/>
    </row>
    <row r="96" spans="1:35" ht="15" customHeight="1" x14ac:dyDescent="0.35">
      <c r="B96" s="141">
        <f>+B95-U91</f>
        <v>3.0999999999999993E-2</v>
      </c>
      <c r="C96" s="128"/>
      <c r="D96" s="129"/>
      <c r="E96" s="145">
        <f>+Y96</f>
        <v>0</v>
      </c>
      <c r="F96" s="64">
        <f t="shared" si="22"/>
        <v>0</v>
      </c>
      <c r="G96" s="106"/>
      <c r="H96" s="59">
        <f t="shared" si="24"/>
        <v>0</v>
      </c>
      <c r="I96" s="59">
        <f t="shared" si="23"/>
        <v>0</v>
      </c>
      <c r="J96" s="65">
        <f t="shared" si="25"/>
        <v>0</v>
      </c>
      <c r="K96" s="66">
        <f t="shared" si="26"/>
        <v>1</v>
      </c>
      <c r="L96" s="66">
        <f>+SUM(F89:F96)</f>
        <v>0</v>
      </c>
      <c r="M96" s="67">
        <f>+SUM(D89:D96)</f>
        <v>0</v>
      </c>
      <c r="N96" s="63"/>
      <c r="O96" s="151" t="e">
        <f t="shared" si="28"/>
        <v>#DIV/0!</v>
      </c>
      <c r="P96" s="149"/>
      <c r="Q96" s="149">
        <f>+L96*(1+P88)</f>
        <v>0</v>
      </c>
      <c r="R96" s="152">
        <f t="shared" si="27"/>
        <v>0</v>
      </c>
      <c r="AE96" s="15"/>
      <c r="AF96" s="15"/>
      <c r="AG96" s="15"/>
      <c r="AH96" s="15"/>
    </row>
    <row r="97" spans="1:35" ht="15" hidden="1" customHeight="1" x14ac:dyDescent="0.35">
      <c r="B97" s="141">
        <f>+B96-U91</f>
        <v>2.8999999999999991E-2</v>
      </c>
      <c r="C97" s="128"/>
      <c r="D97" s="129"/>
      <c r="E97" s="145"/>
      <c r="F97" s="64"/>
      <c r="G97" s="106"/>
      <c r="H97" s="59">
        <f t="shared" si="24"/>
        <v>0</v>
      </c>
      <c r="I97" s="59">
        <f t="shared" si="23"/>
        <v>0</v>
      </c>
      <c r="J97" s="65">
        <f t="shared" si="25"/>
        <v>0</v>
      </c>
      <c r="K97" s="66">
        <f t="shared" si="26"/>
        <v>1</v>
      </c>
      <c r="L97" s="66">
        <f>+SUM(F89:F97)</f>
        <v>0</v>
      </c>
      <c r="M97" s="67">
        <f>+SUM(D89:D97)</f>
        <v>0</v>
      </c>
      <c r="N97" s="63"/>
      <c r="O97" s="151" t="e">
        <f t="shared" si="28"/>
        <v>#DIV/0!</v>
      </c>
      <c r="P97" s="149"/>
      <c r="Q97" s="149">
        <f>+L97*(1+P88)</f>
        <v>0</v>
      </c>
      <c r="R97" s="152">
        <f t="shared" si="27"/>
        <v>0</v>
      </c>
      <c r="AE97" s="15"/>
      <c r="AF97" s="15"/>
      <c r="AG97" s="15"/>
      <c r="AH97" s="15"/>
    </row>
    <row r="98" spans="1:35" ht="15" hidden="1" customHeight="1" x14ac:dyDescent="0.35">
      <c r="B98" s="141">
        <f>+B97-U91</f>
        <v>2.6999999999999989E-2</v>
      </c>
      <c r="C98" s="128"/>
      <c r="D98" s="129"/>
      <c r="E98" s="145"/>
      <c r="F98" s="64"/>
      <c r="G98" s="106"/>
      <c r="H98" s="59">
        <f t="shared" si="24"/>
        <v>0</v>
      </c>
      <c r="I98" s="59">
        <f t="shared" si="23"/>
        <v>0</v>
      </c>
      <c r="J98" s="65">
        <f t="shared" si="25"/>
        <v>0</v>
      </c>
      <c r="K98" s="66">
        <f t="shared" si="26"/>
        <v>1</v>
      </c>
      <c r="L98" s="66">
        <f>+SUM(F89:F98)</f>
        <v>0</v>
      </c>
      <c r="M98" s="67">
        <f>+SUM(D89:D98)</f>
        <v>0</v>
      </c>
      <c r="N98" s="63"/>
      <c r="O98" s="151" t="e">
        <f t="shared" si="28"/>
        <v>#DIV/0!</v>
      </c>
      <c r="P98" s="149"/>
      <c r="Q98" s="149">
        <f>+L98*(1+P88)</f>
        <v>0</v>
      </c>
      <c r="R98" s="152">
        <f t="shared" si="27"/>
        <v>0</v>
      </c>
      <c r="AE98" s="15"/>
      <c r="AF98" s="15"/>
      <c r="AG98" s="15"/>
      <c r="AH98" s="15"/>
    </row>
    <row r="99" spans="1:35" ht="15" hidden="1" customHeight="1" x14ac:dyDescent="0.35">
      <c r="B99" s="141">
        <f>+B98-U91</f>
        <v>2.4999999999999988E-2</v>
      </c>
      <c r="C99" s="128"/>
      <c r="D99" s="129"/>
      <c r="E99" s="145"/>
      <c r="F99" s="64"/>
      <c r="G99" s="106"/>
      <c r="H99" s="59">
        <f t="shared" si="24"/>
        <v>0</v>
      </c>
      <c r="I99" s="59">
        <f t="shared" si="23"/>
        <v>0</v>
      </c>
      <c r="J99" s="65">
        <f>(+G99-G100)*G99</f>
        <v>0</v>
      </c>
      <c r="K99" s="66">
        <f>1-G100</f>
        <v>1</v>
      </c>
      <c r="L99" s="66">
        <f>+SUM(F89:F99)</f>
        <v>0</v>
      </c>
      <c r="M99" s="67">
        <f>+SUM(D90:D100)</f>
        <v>0</v>
      </c>
      <c r="N99" s="63"/>
      <c r="O99" s="151" t="e">
        <f t="shared" si="28"/>
        <v>#DIV/0!</v>
      </c>
      <c r="P99" s="149"/>
      <c r="Q99" s="149">
        <f>+L99*(1+P88)</f>
        <v>0</v>
      </c>
      <c r="R99" s="152">
        <f t="shared" si="27"/>
        <v>0</v>
      </c>
      <c r="AE99" s="15"/>
      <c r="AF99" s="15"/>
      <c r="AG99" s="15"/>
      <c r="AH99" s="15"/>
    </row>
    <row r="100" spans="1:35" ht="15" hidden="1" customHeight="1" x14ac:dyDescent="0.35">
      <c r="A100" t="s">
        <v>54</v>
      </c>
      <c r="B100" s="141"/>
      <c r="C100" s="128"/>
      <c r="D100" s="129"/>
      <c r="E100" s="145"/>
      <c r="F100" s="64"/>
      <c r="G100" s="106"/>
      <c r="H100" s="59">
        <f t="shared" si="24"/>
        <v>0</v>
      </c>
      <c r="I100" s="59">
        <f t="shared" si="23"/>
        <v>0</v>
      </c>
      <c r="J100" s="65">
        <f>(+G100-G101)*G100</f>
        <v>0</v>
      </c>
      <c r="K100" s="66">
        <f>1-G101</f>
        <v>1</v>
      </c>
      <c r="L100" s="66">
        <f>+SUM(F89:F100)</f>
        <v>0</v>
      </c>
      <c r="M100" s="67">
        <f>+SUM(D89:D100)</f>
        <v>0</v>
      </c>
      <c r="N100" s="63"/>
      <c r="O100" s="151" t="e">
        <f>+Q100/M100</f>
        <v>#DIV/0!</v>
      </c>
      <c r="P100" s="149"/>
      <c r="Q100" s="149">
        <f>+L100*(1+P88)</f>
        <v>0</v>
      </c>
      <c r="R100" s="152">
        <f>+Q100-L100</f>
        <v>0</v>
      </c>
      <c r="AE100" s="15"/>
      <c r="AF100" s="15"/>
      <c r="AG100" s="15"/>
      <c r="AH100" s="15"/>
    </row>
    <row r="101" spans="1:35" ht="15" thickBot="1" x14ac:dyDescent="0.4">
      <c r="B101" s="142"/>
      <c r="C101" s="128"/>
      <c r="D101" s="129"/>
      <c r="E101" s="146"/>
      <c r="F101" s="68"/>
      <c r="G101" s="107"/>
      <c r="H101" s="69"/>
      <c r="I101" s="69">
        <f t="shared" si="23"/>
        <v>0</v>
      </c>
      <c r="J101" s="70">
        <f>(+G101-G102)*G101</f>
        <v>0</v>
      </c>
      <c r="K101" s="71">
        <f>1-G102</f>
        <v>1</v>
      </c>
      <c r="L101" s="71"/>
      <c r="M101" s="72"/>
      <c r="N101" s="73"/>
      <c r="O101" s="153"/>
      <c r="P101" s="154"/>
      <c r="Q101" s="154"/>
      <c r="R101" s="155"/>
      <c r="AE101" s="15"/>
      <c r="AF101" s="15"/>
      <c r="AG101" s="15"/>
      <c r="AH101" s="15"/>
    </row>
    <row r="102" spans="1:35" ht="15.5" thickTop="1" thickBot="1" x14ac:dyDescent="0.4">
      <c r="C102" s="74"/>
      <c r="D102" s="177" t="s">
        <v>41</v>
      </c>
      <c r="E102" s="178"/>
      <c r="F102" s="75" t="s">
        <v>42</v>
      </c>
      <c r="G102" s="76"/>
      <c r="H102" s="15"/>
      <c r="I102" s="15"/>
      <c r="J102" s="15"/>
      <c r="K102" s="15"/>
      <c r="L102" s="15"/>
      <c r="M102" s="15"/>
      <c r="N102" s="77"/>
      <c r="O102" s="156" t="s">
        <v>46</v>
      </c>
      <c r="P102" s="157">
        <f>+P88</f>
        <v>0.02</v>
      </c>
      <c r="Q102" s="158" t="s">
        <v>25</v>
      </c>
      <c r="R102" s="158" t="s">
        <v>26</v>
      </c>
      <c r="S102" s="78"/>
      <c r="AE102" s="15"/>
      <c r="AF102" s="15"/>
      <c r="AG102" s="15"/>
      <c r="AH102" s="15"/>
    </row>
    <row r="103" spans="1:35" ht="15" thickBot="1" x14ac:dyDescent="0.4">
      <c r="C103" s="79"/>
      <c r="D103" s="179">
        <f>+D89*G89+D90*G90+D91*G91+D92*G92+D93*G93+D94*G94+D95*G95+D96*G96+D97*G97+D98*G98+D99*G99+D100*G100+D101*G101</f>
        <v>0</v>
      </c>
      <c r="E103" s="180"/>
      <c r="F103" s="80">
        <f>+F89*G89+F90*G90+F91*G91+F92*G92+F93*G93+F94*G94+F95*G95+F96*G96+F97*G97+F98*G98+F99*G99+F100*G100+F101*G101</f>
        <v>0</v>
      </c>
      <c r="G103" s="81"/>
      <c r="H103" s="15"/>
      <c r="I103" s="15"/>
      <c r="J103" s="15"/>
      <c r="K103" s="15"/>
      <c r="L103" s="15"/>
      <c r="M103" s="15"/>
      <c r="N103" s="77"/>
      <c r="O103" s="191" t="e">
        <f>+Q103/D103</f>
        <v>#DIV/0!</v>
      </c>
      <c r="P103" s="192"/>
      <c r="Q103" s="159">
        <f>+F103*(1+P88)</f>
        <v>0</v>
      </c>
      <c r="R103" s="159">
        <f>+Q103-F103</f>
        <v>0</v>
      </c>
      <c r="S103" s="82" t="e">
        <f>+(Q103/F103-1)</f>
        <v>#DIV/0!</v>
      </c>
      <c r="AE103" s="15"/>
      <c r="AF103" s="15"/>
      <c r="AG103" s="15"/>
      <c r="AH103" s="15"/>
    </row>
    <row r="104" spans="1:35" ht="15.5" thickTop="1" thickBot="1" x14ac:dyDescent="0.4">
      <c r="D104" s="83"/>
      <c r="E104" s="83"/>
      <c r="O104" s="160">
        <v>550</v>
      </c>
      <c r="Q104" s="15">
        <f>+O104*D103</f>
        <v>0</v>
      </c>
      <c r="R104" s="161">
        <f>+Q104-F103</f>
        <v>0</v>
      </c>
      <c r="AE104" s="15"/>
      <c r="AF104" s="15"/>
      <c r="AG104" s="15"/>
      <c r="AH104" s="15"/>
    </row>
    <row r="105" spans="1:35" ht="22" thickTop="1" thickBot="1" x14ac:dyDescent="0.4">
      <c r="C105" s="84"/>
      <c r="D105" s="147" t="s">
        <v>43</v>
      </c>
      <c r="E105" s="148"/>
      <c r="F105" s="85">
        <f>+SUM(F89:F102)</f>
        <v>0</v>
      </c>
      <c r="AE105" s="15"/>
      <c r="AF105" s="15"/>
      <c r="AG105" s="15"/>
      <c r="AH105" s="15"/>
    </row>
    <row r="106" spans="1:35" ht="15.5" thickTop="1" thickBot="1" x14ac:dyDescent="0.4">
      <c r="C106" s="84"/>
      <c r="D106" s="86"/>
      <c r="E106" s="86"/>
      <c r="F106" s="87"/>
      <c r="O106" s="177" t="s">
        <v>47</v>
      </c>
      <c r="P106" s="205"/>
      <c r="Q106" s="158" t="s">
        <v>25</v>
      </c>
      <c r="R106" s="158" t="s">
        <v>26</v>
      </c>
      <c r="AE106" s="15"/>
      <c r="AF106" s="15"/>
      <c r="AG106" s="15"/>
      <c r="AH106" s="15"/>
    </row>
    <row r="107" spans="1:35" x14ac:dyDescent="0.35">
      <c r="C107" s="84"/>
      <c r="D107" s="88"/>
      <c r="E107" s="88"/>
      <c r="F107" s="89" t="s">
        <v>55</v>
      </c>
      <c r="G107" s="90"/>
      <c r="H107" s="90"/>
      <c r="I107" s="90"/>
      <c r="J107" s="90"/>
      <c r="K107" s="90"/>
      <c r="L107" s="90"/>
      <c r="M107" s="90"/>
      <c r="N107" s="91"/>
      <c r="O107" s="196">
        <f>(C89+(C90*J90+C91*J91+C92*J92+C93*J93+C94*J94+C95*J95+C96*J96+C97*J97+C98*J98+C99*J99+C100*J100+C101*J101))/2</f>
        <v>0</v>
      </c>
      <c r="P107" s="197"/>
      <c r="Q107" s="162">
        <f>+O107*D103</f>
        <v>0</v>
      </c>
      <c r="R107" s="162">
        <f>+Q107-F103</f>
        <v>0</v>
      </c>
      <c r="S107" s="92" t="e">
        <f>+(Q107/F103-1)</f>
        <v>#DIV/0!</v>
      </c>
      <c r="AE107" s="15"/>
      <c r="AF107" s="15"/>
      <c r="AG107" s="15"/>
      <c r="AH107" s="15"/>
    </row>
    <row r="108" spans="1:35" x14ac:dyDescent="0.35">
      <c r="D108" s="93"/>
      <c r="E108" s="93"/>
      <c r="F108" s="94" t="s">
        <v>56</v>
      </c>
      <c r="G108" s="95"/>
      <c r="H108" s="95"/>
      <c r="I108" s="95"/>
      <c r="J108" s="95"/>
      <c r="K108" s="95"/>
      <c r="L108" s="95"/>
      <c r="M108" s="95"/>
      <c r="N108" s="96"/>
      <c r="O108" s="198">
        <f>(2*C89+(C90*J90+C91*J91+C92*J92+C93*J93+C94*J94+C95*J95+C96*J96+C97*J97+C98*J98+C99*J99+C100*J100+C101*J101))/3</f>
        <v>0</v>
      </c>
      <c r="P108" s="199"/>
      <c r="Q108" s="163">
        <f>+O108*D103</f>
        <v>0</v>
      </c>
      <c r="R108" s="163">
        <f>+Q108-F103</f>
        <v>0</v>
      </c>
      <c r="S108" s="97" t="e">
        <f>+(Q108/F103-1)</f>
        <v>#DIV/0!</v>
      </c>
      <c r="AE108" s="15"/>
      <c r="AF108" s="15"/>
      <c r="AG108" s="15"/>
      <c r="AH108" s="15"/>
    </row>
    <row r="109" spans="1:35" ht="15" thickBot="1" x14ac:dyDescent="0.4">
      <c r="D109" s="93"/>
      <c r="E109" s="93"/>
      <c r="F109" s="98" t="s">
        <v>57</v>
      </c>
      <c r="G109" s="99"/>
      <c r="H109" s="99"/>
      <c r="I109" s="99"/>
      <c r="J109" s="99"/>
      <c r="K109" s="99"/>
      <c r="L109" s="99"/>
      <c r="M109" s="99"/>
      <c r="N109" s="100"/>
      <c r="O109" s="200">
        <f>+C89</f>
        <v>0</v>
      </c>
      <c r="P109" s="201"/>
      <c r="Q109" s="164">
        <f>+O109*D103</f>
        <v>0</v>
      </c>
      <c r="R109" s="164">
        <f>+Q109-F103</f>
        <v>0</v>
      </c>
      <c r="S109" s="101" t="e">
        <f>+(Q109/F103-1)</f>
        <v>#DIV/0!</v>
      </c>
      <c r="AE109" s="15"/>
      <c r="AF109" s="15"/>
      <c r="AG109" s="15"/>
      <c r="AH109" s="15"/>
    </row>
    <row r="110" spans="1:35" x14ac:dyDescent="0.35">
      <c r="AE110" s="15"/>
      <c r="AF110" s="15"/>
      <c r="AG110" s="15"/>
      <c r="AH110" s="15"/>
    </row>
    <row r="111" spans="1:35" ht="15" thickBot="1" x14ac:dyDescent="0.4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3"/>
      <c r="P111" s="103"/>
      <c r="Q111" s="103"/>
      <c r="R111" s="103"/>
      <c r="S111" s="103"/>
      <c r="T111" s="102"/>
      <c r="U111" s="103"/>
      <c r="V111" s="103"/>
      <c r="W111" s="103"/>
      <c r="X111" s="103"/>
      <c r="Y111" s="102"/>
      <c r="AD111" s="102"/>
      <c r="AE111" s="103"/>
      <c r="AF111" s="103"/>
      <c r="AG111" s="103"/>
      <c r="AH111" s="103"/>
      <c r="AI111" s="102"/>
    </row>
    <row r="112" spans="1:35" ht="15" thickTop="1" x14ac:dyDescent="0.35">
      <c r="S112" s="51"/>
      <c r="AE112" s="15"/>
      <c r="AF112" s="15"/>
      <c r="AG112" s="15"/>
      <c r="AH112" s="15"/>
    </row>
    <row r="113" spans="1:35" ht="15" thickBot="1" x14ac:dyDescent="0.4">
      <c r="O113" s="193" t="s">
        <v>51</v>
      </c>
      <c r="P113" s="193"/>
      <c r="Q113" s="193"/>
      <c r="R113" s="193"/>
      <c r="AE113" s="15"/>
      <c r="AF113" s="15"/>
      <c r="AG113" s="15"/>
      <c r="AH113" s="15"/>
    </row>
    <row r="114" spans="1:35" ht="15.5" thickTop="1" thickBot="1" x14ac:dyDescent="0.4">
      <c r="A114" s="202" t="s">
        <v>31</v>
      </c>
      <c r="B114" s="187" t="s">
        <v>40</v>
      </c>
      <c r="C114" s="188"/>
      <c r="D114" s="189" t="s">
        <v>24</v>
      </c>
      <c r="E114" s="190"/>
      <c r="F114" s="52" t="s">
        <v>23</v>
      </c>
      <c r="G114" s="53" t="s">
        <v>34</v>
      </c>
      <c r="H114" s="54" t="s">
        <v>48</v>
      </c>
      <c r="I114" s="54" t="s">
        <v>49</v>
      </c>
      <c r="J114" s="55" t="s">
        <v>38</v>
      </c>
      <c r="K114" s="56" t="s">
        <v>39</v>
      </c>
      <c r="L114" s="56" t="s">
        <v>35</v>
      </c>
      <c r="M114" s="57" t="s">
        <v>50</v>
      </c>
      <c r="N114" s="15"/>
      <c r="O114" s="149" t="s">
        <v>45</v>
      </c>
      <c r="P114" s="150">
        <f>+U120</f>
        <v>0.02</v>
      </c>
      <c r="Q114" s="149" t="s">
        <v>25</v>
      </c>
      <c r="R114" s="149" t="s">
        <v>26</v>
      </c>
      <c r="T114" s="181" t="s">
        <v>58</v>
      </c>
      <c r="U114" s="182"/>
      <c r="V114" s="182"/>
      <c r="W114" s="182"/>
      <c r="X114" s="182"/>
      <c r="Y114" s="183"/>
      <c r="AD114" s="115" t="s">
        <v>58</v>
      </c>
      <c r="AE114" s="124"/>
      <c r="AF114" s="124"/>
      <c r="AG114" s="124"/>
      <c r="AH114" s="124"/>
      <c r="AI114" s="116"/>
    </row>
    <row r="115" spans="1:35" ht="15" thickTop="1" x14ac:dyDescent="0.35">
      <c r="A115" s="203"/>
      <c r="B115" s="140">
        <f>+A119-U116</f>
        <v>0.24</v>
      </c>
      <c r="C115" s="128">
        <v>0.245</v>
      </c>
      <c r="D115" s="129">
        <v>800</v>
      </c>
      <c r="E115" s="144">
        <f>+U119</f>
        <v>500</v>
      </c>
      <c r="F115" s="58">
        <f t="shared" ref="F115:F120" si="29">+C115*D115</f>
        <v>196</v>
      </c>
      <c r="G115" s="105">
        <v>1</v>
      </c>
      <c r="H115" s="59">
        <f>+F115*G115</f>
        <v>196</v>
      </c>
      <c r="I115" s="59">
        <f t="shared" ref="I115:I127" si="30">+D115*G115</f>
        <v>800</v>
      </c>
      <c r="J115" s="60">
        <f>(+G115-G116)*G115</f>
        <v>0</v>
      </c>
      <c r="K115" s="61">
        <f>1-G116</f>
        <v>0</v>
      </c>
      <c r="L115" s="61">
        <f>+SUM(F115)</f>
        <v>196</v>
      </c>
      <c r="M115" s="62">
        <f>+SUM(D115)</f>
        <v>800</v>
      </c>
      <c r="N115" s="63"/>
      <c r="O115" s="151">
        <f>(Q115/M115)</f>
        <v>0.24990000000000001</v>
      </c>
      <c r="P115" s="149"/>
      <c r="Q115" s="149">
        <f>+L115*(1+P114)</f>
        <v>199.92000000000002</v>
      </c>
      <c r="R115" s="152">
        <f>+Q115-L115</f>
        <v>3.9200000000000159</v>
      </c>
      <c r="T115" s="136" t="s">
        <v>88</v>
      </c>
      <c r="U115" s="125">
        <f>+A119</f>
        <v>0.28999999999999998</v>
      </c>
      <c r="Y115" s="137"/>
      <c r="AD115" s="117" t="s">
        <v>60</v>
      </c>
      <c r="AE115" s="125"/>
      <c r="AF115" s="125"/>
      <c r="AG115" s="125"/>
      <c r="AH115" s="125"/>
      <c r="AI115" s="118" t="s">
        <v>69</v>
      </c>
    </row>
    <row r="116" spans="1:35" x14ac:dyDescent="0.35">
      <c r="A116" s="203"/>
      <c r="B116" s="141">
        <f>+B115-U117</f>
        <v>0.23499999999999999</v>
      </c>
      <c r="C116" s="128">
        <v>0.24</v>
      </c>
      <c r="D116" s="129">
        <v>1600</v>
      </c>
      <c r="E116" s="145">
        <f>+V119</f>
        <v>1000</v>
      </c>
      <c r="F116" s="64">
        <f t="shared" si="29"/>
        <v>384</v>
      </c>
      <c r="G116" s="105">
        <v>1</v>
      </c>
      <c r="H116" s="59">
        <f t="shared" ref="H116:H126" si="31">+F116*G116</f>
        <v>384</v>
      </c>
      <c r="I116" s="59">
        <f t="shared" si="30"/>
        <v>1600</v>
      </c>
      <c r="J116" s="65">
        <f t="shared" ref="J116:J124" si="32">(+G116-G117)*G116</f>
        <v>1</v>
      </c>
      <c r="K116" s="66">
        <f t="shared" ref="K116:K124" si="33">1-G117</f>
        <v>1</v>
      </c>
      <c r="L116" s="66">
        <f>+SUM(F115:F116)</f>
        <v>580</v>
      </c>
      <c r="M116" s="67">
        <f>+SUM(D115:D116)</f>
        <v>2400</v>
      </c>
      <c r="N116" s="63"/>
      <c r="O116" s="151">
        <f>+Q116/M116</f>
        <v>0.2465</v>
      </c>
      <c r="P116" s="149"/>
      <c r="Q116" s="149">
        <f>+L116*(1+P114)</f>
        <v>591.6</v>
      </c>
      <c r="R116" s="152">
        <f t="shared" ref="R116:R125" si="34">+Q116-L116</f>
        <v>11.600000000000023</v>
      </c>
      <c r="T116" s="136" t="s">
        <v>60</v>
      </c>
      <c r="U116" s="125">
        <v>0.05</v>
      </c>
      <c r="V116" s="51" t="s">
        <v>84</v>
      </c>
      <c r="Y116" s="137"/>
      <c r="AD116" s="117" t="s">
        <v>59</v>
      </c>
      <c r="AE116" s="125"/>
      <c r="AF116" s="125"/>
      <c r="AG116" s="125"/>
      <c r="AH116" s="125"/>
      <c r="AI116" s="123">
        <v>0.02</v>
      </c>
    </row>
    <row r="117" spans="1:35" ht="15" thickBot="1" x14ac:dyDescent="0.4">
      <c r="A117" s="204"/>
      <c r="B117" s="141">
        <f>+B116-U117</f>
        <v>0.22999999999999998</v>
      </c>
      <c r="C117" s="128">
        <v>0.23599999999999999</v>
      </c>
      <c r="D117" s="129">
        <v>3200</v>
      </c>
      <c r="E117" s="145">
        <f>+W119</f>
        <v>2000</v>
      </c>
      <c r="F117" s="64">
        <f t="shared" si="29"/>
        <v>755.19999999999993</v>
      </c>
      <c r="G117" s="105"/>
      <c r="H117" s="59">
        <f t="shared" si="31"/>
        <v>0</v>
      </c>
      <c r="I117" s="59">
        <f t="shared" si="30"/>
        <v>0</v>
      </c>
      <c r="J117" s="65">
        <f t="shared" si="32"/>
        <v>0</v>
      </c>
      <c r="K117" s="66">
        <f t="shared" si="33"/>
        <v>1</v>
      </c>
      <c r="L117" s="66">
        <f>+SUM(F115:F117)</f>
        <v>1335.1999999999998</v>
      </c>
      <c r="M117" s="67">
        <f>+SUM(D115:D117)</f>
        <v>5600</v>
      </c>
      <c r="N117" s="63"/>
      <c r="O117" s="151">
        <f>+Q117/M117</f>
        <v>0.24319714285714281</v>
      </c>
      <c r="P117" s="149"/>
      <c r="Q117" s="149">
        <f>+L117*(1+P114)</f>
        <v>1361.9039999999998</v>
      </c>
      <c r="R117" s="152">
        <f t="shared" si="34"/>
        <v>26.703999999999951</v>
      </c>
      <c r="T117" s="136" t="s">
        <v>59</v>
      </c>
      <c r="U117" s="125">
        <v>5.0000000000000001E-3</v>
      </c>
      <c r="V117" s="15" t="s">
        <v>86</v>
      </c>
      <c r="W117" s="125">
        <v>2E-3</v>
      </c>
      <c r="X117" s="51" t="s">
        <v>89</v>
      </c>
      <c r="Y117" s="138"/>
      <c r="AD117" s="117" t="s">
        <v>61</v>
      </c>
      <c r="AE117" s="125"/>
      <c r="AF117" s="125"/>
      <c r="AG117" s="125"/>
      <c r="AH117" s="125"/>
      <c r="AI117" s="118" t="s">
        <v>70</v>
      </c>
    </row>
    <row r="118" spans="1:35" ht="15" thickTop="1" x14ac:dyDescent="0.35">
      <c r="A118" s="121" t="s">
        <v>95</v>
      </c>
      <c r="B118" s="141">
        <f>+B117-U117</f>
        <v>0.22499999999999998</v>
      </c>
      <c r="C118" s="128">
        <v>0.23200000000000001</v>
      </c>
      <c r="D118" s="129">
        <v>6400</v>
      </c>
      <c r="E118" s="145">
        <f>+X119</f>
        <v>6000</v>
      </c>
      <c r="F118" s="64">
        <f t="shared" si="29"/>
        <v>1484.8000000000002</v>
      </c>
      <c r="G118" s="105"/>
      <c r="H118" s="59">
        <f t="shared" si="31"/>
        <v>0</v>
      </c>
      <c r="I118" s="59">
        <f t="shared" si="30"/>
        <v>0</v>
      </c>
      <c r="J118" s="65">
        <f t="shared" si="32"/>
        <v>0</v>
      </c>
      <c r="K118" s="66">
        <f t="shared" si="33"/>
        <v>1</v>
      </c>
      <c r="L118" s="66">
        <f>+SUM(F115:F118)</f>
        <v>2820</v>
      </c>
      <c r="M118" s="67">
        <f>+SUM(D115:D118)</f>
        <v>12000</v>
      </c>
      <c r="N118" s="63"/>
      <c r="O118" s="151">
        <f>+Q118/M118</f>
        <v>0.2397</v>
      </c>
      <c r="P118" s="149"/>
      <c r="Q118" s="149">
        <f>+L118*(1+P114)</f>
        <v>2876.4</v>
      </c>
      <c r="R118" s="152">
        <f t="shared" si="34"/>
        <v>56.400000000000091</v>
      </c>
      <c r="T118" s="136" t="s">
        <v>61</v>
      </c>
      <c r="U118" s="125">
        <v>0.1</v>
      </c>
      <c r="V118" s="51" t="s">
        <v>84</v>
      </c>
      <c r="Y118" s="137"/>
      <c r="AD118" s="117" t="s">
        <v>62</v>
      </c>
      <c r="AE118" s="125"/>
      <c r="AF118" s="125"/>
      <c r="AG118" s="125"/>
      <c r="AH118" s="125"/>
      <c r="AI118" s="118" t="s">
        <v>71</v>
      </c>
    </row>
    <row r="119" spans="1:35" ht="15" thickBot="1" x14ac:dyDescent="0.4">
      <c r="A119" s="122">
        <v>0.28999999999999998</v>
      </c>
      <c r="B119" s="141">
        <f>+B118-U117</f>
        <v>0.21999999999999997</v>
      </c>
      <c r="C119" s="128"/>
      <c r="D119" s="129"/>
      <c r="E119" s="145">
        <f>+Y119</f>
        <v>15000</v>
      </c>
      <c r="F119" s="64">
        <f t="shared" si="29"/>
        <v>0</v>
      </c>
      <c r="G119" s="106"/>
      <c r="H119" s="59">
        <f t="shared" si="31"/>
        <v>0</v>
      </c>
      <c r="I119" s="59">
        <f t="shared" si="30"/>
        <v>0</v>
      </c>
      <c r="J119" s="65">
        <f t="shared" si="32"/>
        <v>0</v>
      </c>
      <c r="K119" s="66">
        <f t="shared" si="33"/>
        <v>1</v>
      </c>
      <c r="L119" s="66">
        <f>+SUM(F115:F119)</f>
        <v>2820</v>
      </c>
      <c r="M119" s="67">
        <f>+SUM(D115:D119)</f>
        <v>12000</v>
      </c>
      <c r="N119" s="63"/>
      <c r="O119" s="151">
        <f>+Q119/M119</f>
        <v>0.2397</v>
      </c>
      <c r="P119" s="149"/>
      <c r="Q119" s="149">
        <f>+L119*(1+P114)</f>
        <v>2876.4</v>
      </c>
      <c r="R119" s="152">
        <f t="shared" si="34"/>
        <v>56.400000000000091</v>
      </c>
      <c r="T119" s="136" t="s">
        <v>85</v>
      </c>
      <c r="U119" s="132">
        <v>500</v>
      </c>
      <c r="V119" s="132">
        <v>1000</v>
      </c>
      <c r="W119" s="132">
        <v>2000</v>
      </c>
      <c r="X119" s="132">
        <v>6000</v>
      </c>
      <c r="Y119" s="133">
        <v>15000</v>
      </c>
      <c r="AD119" s="117"/>
      <c r="AE119" s="125"/>
      <c r="AF119" s="125"/>
      <c r="AG119" s="125"/>
      <c r="AH119" s="125"/>
      <c r="AI119" s="118">
        <v>10000</v>
      </c>
    </row>
    <row r="120" spans="1:35" ht="15.5" thickTop="1" thickBot="1" x14ac:dyDescent="0.4">
      <c r="A120" s="139" t="s">
        <v>91</v>
      </c>
      <c r="B120" s="141">
        <f>+B119-U117</f>
        <v>0.21499999999999997</v>
      </c>
      <c r="C120" s="128"/>
      <c r="D120" s="129"/>
      <c r="E120" s="145">
        <f>+Y120</f>
        <v>0</v>
      </c>
      <c r="F120" s="64">
        <f t="shared" si="29"/>
        <v>0</v>
      </c>
      <c r="G120" s="106"/>
      <c r="H120" s="59">
        <f t="shared" si="31"/>
        <v>0</v>
      </c>
      <c r="I120" s="59">
        <f t="shared" si="30"/>
        <v>0</v>
      </c>
      <c r="J120" s="65">
        <f t="shared" si="32"/>
        <v>0</v>
      </c>
      <c r="K120" s="66">
        <f t="shared" si="33"/>
        <v>1</v>
      </c>
      <c r="L120" s="66">
        <f>+SUM(F115:F120)</f>
        <v>2820</v>
      </c>
      <c r="M120" s="67">
        <f>+SUM(D115:D120)</f>
        <v>12000</v>
      </c>
      <c r="N120" s="63"/>
      <c r="O120" s="151">
        <f t="shared" ref="O120:O125" si="35">+Q120/M120</f>
        <v>0.2397</v>
      </c>
      <c r="P120" s="149"/>
      <c r="Q120" s="149">
        <f>+L120*(1+P114)</f>
        <v>2876.4</v>
      </c>
      <c r="R120" s="152">
        <f t="shared" si="34"/>
        <v>56.400000000000091</v>
      </c>
      <c r="T120" s="2" t="s">
        <v>87</v>
      </c>
      <c r="U120" s="135">
        <v>0.02</v>
      </c>
      <c r="V120" s="126"/>
      <c r="W120" s="126"/>
      <c r="X120" s="126"/>
      <c r="Y120" s="120"/>
      <c r="AD120" s="119"/>
      <c r="AE120" s="126"/>
      <c r="AF120" s="126"/>
      <c r="AG120" s="126"/>
      <c r="AH120" s="126"/>
      <c r="AI120" s="120"/>
    </row>
    <row r="121" spans="1:35" ht="15.75" customHeight="1" x14ac:dyDescent="0.35">
      <c r="A121" s="139">
        <f>+A119-U118</f>
        <v>0.18999999999999997</v>
      </c>
      <c r="B121" s="141">
        <f>+B120-U117</f>
        <v>0.20999999999999996</v>
      </c>
      <c r="C121" s="128"/>
      <c r="D121" s="129"/>
      <c r="E121" s="145">
        <f>+Y121</f>
        <v>0</v>
      </c>
      <c r="F121" s="64"/>
      <c r="G121" s="106"/>
      <c r="H121" s="59">
        <f t="shared" si="31"/>
        <v>0</v>
      </c>
      <c r="I121" s="59">
        <f t="shared" si="30"/>
        <v>0</v>
      </c>
      <c r="J121" s="65">
        <f t="shared" si="32"/>
        <v>0</v>
      </c>
      <c r="K121" s="66">
        <f t="shared" si="33"/>
        <v>1</v>
      </c>
      <c r="L121" s="66">
        <f>+SUM(F115:F121)</f>
        <v>2820</v>
      </c>
      <c r="M121" s="67">
        <f>+SUM(D115:D121)</f>
        <v>12000</v>
      </c>
      <c r="N121" s="63"/>
      <c r="O121" s="151">
        <f t="shared" si="35"/>
        <v>0.2397</v>
      </c>
      <c r="P121" s="149"/>
      <c r="Q121" s="149">
        <f>+L121*(1+P114)</f>
        <v>2876.4</v>
      </c>
      <c r="R121" s="152">
        <f t="shared" si="34"/>
        <v>56.400000000000091</v>
      </c>
      <c r="AE121" s="15"/>
      <c r="AF121" s="15"/>
      <c r="AG121" s="15"/>
      <c r="AH121" s="15"/>
    </row>
    <row r="122" spans="1:35" ht="15.75" customHeight="1" x14ac:dyDescent="0.35">
      <c r="B122" s="141">
        <f>+B121-U117</f>
        <v>0.20499999999999996</v>
      </c>
      <c r="C122" s="128"/>
      <c r="D122" s="129"/>
      <c r="E122" s="145">
        <f>+Y122</f>
        <v>0</v>
      </c>
      <c r="F122" s="64"/>
      <c r="G122" s="106"/>
      <c r="H122" s="59">
        <f t="shared" si="31"/>
        <v>0</v>
      </c>
      <c r="I122" s="59">
        <f t="shared" si="30"/>
        <v>0</v>
      </c>
      <c r="J122" s="65">
        <f t="shared" si="32"/>
        <v>0</v>
      </c>
      <c r="K122" s="66">
        <f t="shared" si="33"/>
        <v>1</v>
      </c>
      <c r="L122" s="66">
        <f>+SUM(F115:F122)</f>
        <v>2820</v>
      </c>
      <c r="M122" s="67">
        <f>+SUM(D115:D122)</f>
        <v>12000</v>
      </c>
      <c r="N122" s="63"/>
      <c r="O122" s="151">
        <f t="shared" si="35"/>
        <v>0.2397</v>
      </c>
      <c r="P122" s="149"/>
      <c r="Q122" s="149">
        <f>+L122*(1+P114)</f>
        <v>2876.4</v>
      </c>
      <c r="R122" s="152">
        <f t="shared" si="34"/>
        <v>56.400000000000091</v>
      </c>
      <c r="AE122" s="15"/>
      <c r="AF122" s="15"/>
      <c r="AG122" s="15"/>
      <c r="AH122" s="15"/>
    </row>
    <row r="123" spans="1:35" ht="15.75" hidden="1" customHeight="1" x14ac:dyDescent="0.35">
      <c r="B123" s="141">
        <f>+B122-U117</f>
        <v>0.19999999999999996</v>
      </c>
      <c r="C123" s="128"/>
      <c r="D123" s="129"/>
      <c r="E123" s="145"/>
      <c r="F123" s="64"/>
      <c r="G123" s="106"/>
      <c r="H123" s="59">
        <f t="shared" si="31"/>
        <v>0</v>
      </c>
      <c r="I123" s="59">
        <f t="shared" si="30"/>
        <v>0</v>
      </c>
      <c r="J123" s="65">
        <f t="shared" si="32"/>
        <v>0</v>
      </c>
      <c r="K123" s="66">
        <f t="shared" si="33"/>
        <v>1</v>
      </c>
      <c r="L123" s="66">
        <f>+SUM(F115:F123)</f>
        <v>2820</v>
      </c>
      <c r="M123" s="67">
        <f>+SUM(D115:D123)</f>
        <v>12000</v>
      </c>
      <c r="N123" s="63"/>
      <c r="O123" s="151">
        <f t="shared" si="35"/>
        <v>0.2397</v>
      </c>
      <c r="P123" s="149"/>
      <c r="Q123" s="149">
        <f>+L123*(1+P114)</f>
        <v>2876.4</v>
      </c>
      <c r="R123" s="152">
        <f t="shared" si="34"/>
        <v>56.400000000000091</v>
      </c>
      <c r="AE123" s="15"/>
      <c r="AF123" s="15"/>
      <c r="AG123" s="15"/>
      <c r="AH123" s="15"/>
    </row>
    <row r="124" spans="1:35" ht="15.75" hidden="1" customHeight="1" x14ac:dyDescent="0.35">
      <c r="B124" s="141">
        <f>+B123-U117</f>
        <v>0.19499999999999995</v>
      </c>
      <c r="C124" s="128"/>
      <c r="D124" s="129"/>
      <c r="E124" s="145"/>
      <c r="F124" s="64"/>
      <c r="G124" s="106"/>
      <c r="H124" s="59">
        <f t="shared" si="31"/>
        <v>0</v>
      </c>
      <c r="I124" s="59">
        <f t="shared" si="30"/>
        <v>0</v>
      </c>
      <c r="J124" s="65">
        <f t="shared" si="32"/>
        <v>0</v>
      </c>
      <c r="K124" s="66">
        <f t="shared" si="33"/>
        <v>1</v>
      </c>
      <c r="L124" s="66">
        <f>+SUM(F115:F124)</f>
        <v>2820</v>
      </c>
      <c r="M124" s="67">
        <f>+SUM(D115:D124)</f>
        <v>12000</v>
      </c>
      <c r="N124" s="63"/>
      <c r="O124" s="151">
        <f t="shared" si="35"/>
        <v>0.2397</v>
      </c>
      <c r="P124" s="149"/>
      <c r="Q124" s="149">
        <f>+L124*(1+P114)</f>
        <v>2876.4</v>
      </c>
      <c r="R124" s="152">
        <f t="shared" si="34"/>
        <v>56.400000000000091</v>
      </c>
      <c r="AE124" s="15"/>
      <c r="AF124" s="15"/>
      <c r="AG124" s="15"/>
      <c r="AH124" s="15"/>
    </row>
    <row r="125" spans="1:35" ht="15.75" hidden="1" customHeight="1" x14ac:dyDescent="0.35">
      <c r="B125" s="141">
        <f>+B124-U117</f>
        <v>0.18999999999999995</v>
      </c>
      <c r="C125" s="128"/>
      <c r="D125" s="129"/>
      <c r="E125" s="145"/>
      <c r="F125" s="64"/>
      <c r="G125" s="106"/>
      <c r="H125" s="59">
        <f t="shared" si="31"/>
        <v>0</v>
      </c>
      <c r="I125" s="59">
        <f t="shared" si="30"/>
        <v>0</v>
      </c>
      <c r="J125" s="65">
        <f>(+G125-G126)*G125</f>
        <v>0</v>
      </c>
      <c r="K125" s="66">
        <f>1-G126</f>
        <v>1</v>
      </c>
      <c r="L125" s="66">
        <f>+SUM(F115:F125)</f>
        <v>2820</v>
      </c>
      <c r="M125" s="67">
        <f>+SUM(D116:D126)</f>
        <v>11200</v>
      </c>
      <c r="N125" s="63"/>
      <c r="O125" s="151">
        <f t="shared" si="35"/>
        <v>0.25682142857142859</v>
      </c>
      <c r="P125" s="149"/>
      <c r="Q125" s="149">
        <f>+L125*(1+P114)</f>
        <v>2876.4</v>
      </c>
      <c r="R125" s="152">
        <f t="shared" si="34"/>
        <v>56.400000000000091</v>
      </c>
      <c r="AE125" s="15"/>
      <c r="AF125" s="15"/>
      <c r="AG125" s="15"/>
      <c r="AH125" s="15"/>
    </row>
    <row r="126" spans="1:35" ht="15.75" hidden="1" customHeight="1" x14ac:dyDescent="0.35">
      <c r="A126" t="s">
        <v>54</v>
      </c>
      <c r="B126" s="141"/>
      <c r="C126" s="128"/>
      <c r="D126" s="129"/>
      <c r="E126" s="145"/>
      <c r="F126" s="64"/>
      <c r="G126" s="106"/>
      <c r="H126" s="59">
        <f t="shared" si="31"/>
        <v>0</v>
      </c>
      <c r="I126" s="59">
        <f t="shared" si="30"/>
        <v>0</v>
      </c>
      <c r="J126" s="65">
        <f>(+G126-G127)*G126</f>
        <v>0</v>
      </c>
      <c r="K126" s="66">
        <f>1-G127</f>
        <v>1</v>
      </c>
      <c r="L126" s="66">
        <f>+SUM(F115:F126)</f>
        <v>2820</v>
      </c>
      <c r="M126" s="67">
        <f>+SUM(D115:D126)</f>
        <v>12000</v>
      </c>
      <c r="N126" s="63"/>
      <c r="O126" s="151">
        <f>+Q126/M126</f>
        <v>0.2397</v>
      </c>
      <c r="P126" s="149"/>
      <c r="Q126" s="149">
        <f>+L126*(1+P114)</f>
        <v>2876.4</v>
      </c>
      <c r="R126" s="152">
        <f>+Q126-L126</f>
        <v>56.400000000000091</v>
      </c>
      <c r="AE126" s="15"/>
      <c r="AF126" s="15"/>
      <c r="AG126" s="15"/>
      <c r="AH126" s="15"/>
    </row>
    <row r="127" spans="1:35" ht="15" thickBot="1" x14ac:dyDescent="0.4">
      <c r="B127" s="142"/>
      <c r="C127" s="128"/>
      <c r="D127" s="129"/>
      <c r="E127" s="146"/>
      <c r="F127" s="68"/>
      <c r="G127" s="107"/>
      <c r="H127" s="69"/>
      <c r="I127" s="69">
        <f t="shared" si="30"/>
        <v>0</v>
      </c>
      <c r="J127" s="70">
        <f>(+G127-G128)*G127</f>
        <v>0</v>
      </c>
      <c r="K127" s="71">
        <f>1-G128</f>
        <v>1</v>
      </c>
      <c r="L127" s="71"/>
      <c r="M127" s="72"/>
      <c r="N127" s="73"/>
      <c r="O127" s="153"/>
      <c r="P127" s="154"/>
      <c r="Q127" s="154"/>
      <c r="R127" s="155"/>
      <c r="AE127" s="15"/>
      <c r="AF127" s="15"/>
      <c r="AG127" s="15"/>
      <c r="AH127" s="15"/>
    </row>
    <row r="128" spans="1:35" ht="15.5" thickTop="1" thickBot="1" x14ac:dyDescent="0.4">
      <c r="C128" s="74"/>
      <c r="D128" s="177" t="s">
        <v>41</v>
      </c>
      <c r="E128" s="178"/>
      <c r="F128" s="75" t="s">
        <v>42</v>
      </c>
      <c r="G128" s="76"/>
      <c r="H128" s="15"/>
      <c r="I128" s="15"/>
      <c r="J128" s="15"/>
      <c r="K128" s="15"/>
      <c r="L128" s="15"/>
      <c r="M128" s="15"/>
      <c r="N128" s="77"/>
      <c r="O128" s="156" t="s">
        <v>46</v>
      </c>
      <c r="P128" s="157">
        <f>+P114</f>
        <v>0.02</v>
      </c>
      <c r="Q128" s="158" t="s">
        <v>25</v>
      </c>
      <c r="R128" s="158" t="s">
        <v>26</v>
      </c>
      <c r="S128" s="78"/>
      <c r="AE128" s="15"/>
      <c r="AF128" s="15"/>
      <c r="AG128" s="15"/>
      <c r="AH128" s="15"/>
    </row>
    <row r="129" spans="1:35" ht="15" thickBot="1" x14ac:dyDescent="0.4">
      <c r="C129" s="79"/>
      <c r="D129" s="179">
        <f>+D115*G115+D116*G116+D117*G117+D118*G118+D119*G119+D120*G120+D121*G121+D122*G122+D123*G123+D124*G124+D125*G125+D126*G126+D127*G127</f>
        <v>2400</v>
      </c>
      <c r="E129" s="180"/>
      <c r="F129" s="80">
        <f>+F115*G115+F116*G116+F117*G117+F118*G118+F119*G119+F120*G120+F121*G121+F122*G122+F123*G123+F124*G124+F125*G125+F126*G126+F127*G127</f>
        <v>580</v>
      </c>
      <c r="G129" s="81"/>
      <c r="H129" s="15"/>
      <c r="I129" s="15"/>
      <c r="J129" s="15"/>
      <c r="K129" s="15"/>
      <c r="L129" s="15"/>
      <c r="M129" s="15"/>
      <c r="N129" s="77"/>
      <c r="O129" s="191">
        <f>+Q129/D129</f>
        <v>0.2465</v>
      </c>
      <c r="P129" s="192"/>
      <c r="Q129" s="159">
        <f>+F129*(1+P114)</f>
        <v>591.6</v>
      </c>
      <c r="R129" s="159">
        <f>+Q129-F129</f>
        <v>11.600000000000023</v>
      </c>
      <c r="S129" s="82">
        <f>+(Q129/F129-1)</f>
        <v>2.0000000000000018E-2</v>
      </c>
      <c r="AE129" s="15"/>
      <c r="AF129" s="15"/>
      <c r="AG129" s="15"/>
      <c r="AH129" s="15"/>
    </row>
    <row r="130" spans="1:35" ht="15.5" thickTop="1" thickBot="1" x14ac:dyDescent="0.4">
      <c r="D130" s="83"/>
      <c r="E130" s="83"/>
      <c r="O130" s="160"/>
      <c r="R130" s="161"/>
      <c r="AE130" s="15"/>
      <c r="AF130" s="15"/>
      <c r="AG130" s="15"/>
      <c r="AH130" s="15"/>
    </row>
    <row r="131" spans="1:35" ht="22" thickTop="1" thickBot="1" x14ac:dyDescent="0.4">
      <c r="C131" s="84"/>
      <c r="D131" s="147" t="s">
        <v>43</v>
      </c>
      <c r="E131" s="148"/>
      <c r="F131" s="85">
        <f>+SUM(F115:F128)</f>
        <v>2820</v>
      </c>
      <c r="AE131" s="15"/>
      <c r="AF131" s="15"/>
      <c r="AG131" s="15"/>
      <c r="AH131" s="15"/>
    </row>
    <row r="132" spans="1:35" ht="15.5" thickTop="1" thickBot="1" x14ac:dyDescent="0.4">
      <c r="C132" s="84"/>
      <c r="D132" s="86"/>
      <c r="E132" s="86"/>
      <c r="F132" s="87"/>
      <c r="O132" s="177" t="s">
        <v>47</v>
      </c>
      <c r="P132" s="205"/>
      <c r="Q132" s="158" t="s">
        <v>25</v>
      </c>
      <c r="R132" s="158" t="s">
        <v>26</v>
      </c>
      <c r="AE132" s="15"/>
      <c r="AF132" s="15"/>
      <c r="AG132" s="15"/>
      <c r="AH132" s="15"/>
    </row>
    <row r="133" spans="1:35" x14ac:dyDescent="0.35">
      <c r="C133" s="84"/>
      <c r="D133" s="88"/>
      <c r="E133" s="88"/>
      <c r="F133" s="89" t="s">
        <v>55</v>
      </c>
      <c r="G133" s="90"/>
      <c r="H133" s="90"/>
      <c r="I133" s="90"/>
      <c r="J133" s="90"/>
      <c r="K133" s="90"/>
      <c r="L133" s="90"/>
      <c r="M133" s="90"/>
      <c r="N133" s="91"/>
      <c r="O133" s="196">
        <f>(C115+(C116*J116+C117*J117+C118*J118+C119*J119+C120*J120+C121*J121+C122*J122+C123*J123+C124*J124+C125*J125+C126*J126+C127*J127))/2</f>
        <v>0.24249999999999999</v>
      </c>
      <c r="P133" s="197"/>
      <c r="Q133" s="162">
        <f>+O133*D129</f>
        <v>582</v>
      </c>
      <c r="R133" s="162">
        <f>+Q133-F129</f>
        <v>2</v>
      </c>
      <c r="S133" s="92">
        <f>+(Q133/F129-1)</f>
        <v>3.4482758620688614E-3</v>
      </c>
      <c r="AE133" s="15"/>
      <c r="AF133" s="15"/>
      <c r="AG133" s="15"/>
      <c r="AH133" s="15"/>
    </row>
    <row r="134" spans="1:35" x14ac:dyDescent="0.35">
      <c r="D134" s="93"/>
      <c r="E134" s="93"/>
      <c r="F134" s="94" t="s">
        <v>56</v>
      </c>
      <c r="G134" s="95"/>
      <c r="H134" s="95"/>
      <c r="I134" s="95"/>
      <c r="J134" s="95"/>
      <c r="K134" s="95"/>
      <c r="L134" s="95"/>
      <c r="M134" s="95"/>
      <c r="N134" s="96"/>
      <c r="O134" s="198">
        <f>(2*C115+(C116*J116+C117*J117+C118*J118+C119*J119+C120*J120+C121*J121+C122*J122+C123*J123+C124*J124+C125*J125+C126*J126+C127*J127))/3</f>
        <v>0.24333333333333332</v>
      </c>
      <c r="P134" s="199"/>
      <c r="Q134" s="163">
        <f>+O134*D129</f>
        <v>584</v>
      </c>
      <c r="R134" s="163">
        <f>+Q134-F129</f>
        <v>4</v>
      </c>
      <c r="S134" s="97">
        <f>+(Q134/F129-1)</f>
        <v>6.8965517241379448E-3</v>
      </c>
      <c r="AE134" s="15"/>
      <c r="AF134" s="15"/>
      <c r="AG134" s="15"/>
      <c r="AH134" s="15"/>
    </row>
    <row r="135" spans="1:35" ht="15" thickBot="1" x14ac:dyDescent="0.4">
      <c r="D135" s="93"/>
      <c r="E135" s="93"/>
      <c r="F135" s="98" t="s">
        <v>57</v>
      </c>
      <c r="G135" s="99"/>
      <c r="H135" s="99"/>
      <c r="I135" s="99"/>
      <c r="J135" s="99"/>
      <c r="K135" s="99"/>
      <c r="L135" s="99"/>
      <c r="M135" s="99"/>
      <c r="N135" s="100"/>
      <c r="O135" s="200">
        <f>+C115</f>
        <v>0.245</v>
      </c>
      <c r="P135" s="201"/>
      <c r="Q135" s="164">
        <f>+O135*D129</f>
        <v>588</v>
      </c>
      <c r="R135" s="164">
        <f>+Q135-F129</f>
        <v>8</v>
      </c>
      <c r="S135" s="101">
        <f>+(Q135/F129-1)</f>
        <v>1.379310344827589E-2</v>
      </c>
      <c r="AE135" s="15"/>
      <c r="AF135" s="15"/>
      <c r="AG135" s="15"/>
      <c r="AH135" s="15"/>
    </row>
    <row r="136" spans="1:35" x14ac:dyDescent="0.35">
      <c r="AE136" s="15"/>
      <c r="AF136" s="15"/>
      <c r="AG136" s="15"/>
      <c r="AH136" s="15"/>
    </row>
    <row r="137" spans="1:35" ht="15" thickBot="1" x14ac:dyDescent="0.4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3"/>
      <c r="P137" s="103"/>
      <c r="Q137" s="103"/>
      <c r="R137" s="103"/>
      <c r="S137" s="103"/>
      <c r="T137" s="102"/>
      <c r="U137" s="103"/>
      <c r="V137" s="103"/>
      <c r="W137" s="103"/>
      <c r="X137" s="103"/>
      <c r="Y137" s="102"/>
      <c r="AD137" s="102"/>
      <c r="AE137" s="103"/>
      <c r="AF137" s="103"/>
      <c r="AG137" s="103"/>
      <c r="AH137" s="103"/>
      <c r="AI137" s="102"/>
    </row>
    <row r="138" spans="1:35" ht="15" thickTop="1" x14ac:dyDescent="0.35">
      <c r="S138" s="51"/>
      <c r="AE138" s="15"/>
      <c r="AF138" s="15"/>
      <c r="AG138" s="15"/>
      <c r="AH138" s="15"/>
    </row>
    <row r="139" spans="1:35" ht="15" thickBot="1" x14ac:dyDescent="0.4">
      <c r="O139" s="193" t="s">
        <v>51</v>
      </c>
      <c r="P139" s="193"/>
      <c r="Q139" s="193"/>
      <c r="R139" s="193"/>
      <c r="AE139" s="15"/>
      <c r="AF139" s="15"/>
      <c r="AG139" s="15"/>
      <c r="AH139" s="15"/>
    </row>
    <row r="140" spans="1:35" ht="15.5" thickTop="1" thickBot="1" x14ac:dyDescent="0.4">
      <c r="A140" s="184" t="s">
        <v>80</v>
      </c>
      <c r="B140" s="187" t="s">
        <v>40</v>
      </c>
      <c r="C140" s="188"/>
      <c r="D140" s="189" t="s">
        <v>24</v>
      </c>
      <c r="E140" s="190"/>
      <c r="F140" s="52" t="s">
        <v>23</v>
      </c>
      <c r="G140" s="53" t="s">
        <v>34</v>
      </c>
      <c r="H140" s="54" t="s">
        <v>48</v>
      </c>
      <c r="I140" s="54" t="s">
        <v>49</v>
      </c>
      <c r="J140" s="55" t="s">
        <v>38</v>
      </c>
      <c r="K140" s="56" t="s">
        <v>39</v>
      </c>
      <c r="L140" s="56" t="s">
        <v>35</v>
      </c>
      <c r="M140" s="57" t="s">
        <v>50</v>
      </c>
      <c r="N140" s="15"/>
      <c r="O140" s="149" t="s">
        <v>45</v>
      </c>
      <c r="P140" s="150">
        <f>+U146</f>
        <v>0.02</v>
      </c>
      <c r="Q140" s="149" t="s">
        <v>25</v>
      </c>
      <c r="R140" s="149" t="s">
        <v>26</v>
      </c>
      <c r="T140" s="181" t="s">
        <v>58</v>
      </c>
      <c r="U140" s="182"/>
      <c r="V140" s="182"/>
      <c r="W140" s="182"/>
      <c r="X140" s="182"/>
      <c r="Y140" s="183"/>
      <c r="AD140" s="115" t="s">
        <v>58</v>
      </c>
      <c r="AE140" s="124"/>
      <c r="AF140" s="124"/>
      <c r="AG140" s="124"/>
      <c r="AH140" s="124"/>
      <c r="AI140" s="116"/>
    </row>
    <row r="141" spans="1:35" ht="15" thickTop="1" x14ac:dyDescent="0.35">
      <c r="A141" s="185"/>
      <c r="B141" s="140">
        <f>+A145-U142</f>
        <v>2648</v>
      </c>
      <c r="C141" s="128">
        <v>2757.096</v>
      </c>
      <c r="D141" s="129">
        <v>0.2</v>
      </c>
      <c r="E141" s="144">
        <f>+U145</f>
        <v>0.05</v>
      </c>
      <c r="F141" s="58">
        <f t="shared" ref="F141:F146" si="36">+C141*D141</f>
        <v>551.41920000000005</v>
      </c>
      <c r="G141" s="105">
        <v>1</v>
      </c>
      <c r="H141" s="59">
        <f>+F141*G141</f>
        <v>551.41920000000005</v>
      </c>
      <c r="I141" s="59">
        <f t="shared" ref="I141:I153" si="37">+D141*G141</f>
        <v>0.2</v>
      </c>
      <c r="J141" s="60">
        <f>(+G141-G142)*G141</f>
        <v>0</v>
      </c>
      <c r="K141" s="61">
        <f>1-G142</f>
        <v>0</v>
      </c>
      <c r="L141" s="61">
        <f>+SUM(F141)</f>
        <v>551.41920000000005</v>
      </c>
      <c r="M141" s="62">
        <f>+SUM(D141)</f>
        <v>0.2</v>
      </c>
      <c r="N141" s="63"/>
      <c r="O141" s="151">
        <f>(Q141/M141)</f>
        <v>2812.23792</v>
      </c>
      <c r="P141" s="149"/>
      <c r="Q141" s="149">
        <f>+L141*(1+P140)</f>
        <v>562.44758400000001</v>
      </c>
      <c r="R141" s="152">
        <f>+Q141-L141</f>
        <v>11.02838399999996</v>
      </c>
      <c r="T141" s="136" t="s">
        <v>88</v>
      </c>
      <c r="U141" s="125">
        <f>+A145</f>
        <v>2748</v>
      </c>
      <c r="Y141" s="137"/>
      <c r="AD141" s="117" t="s">
        <v>60</v>
      </c>
      <c r="AE141" s="125"/>
      <c r="AF141" s="125"/>
      <c r="AG141" s="125"/>
      <c r="AH141" s="125"/>
      <c r="AI141" s="118" t="s">
        <v>72</v>
      </c>
    </row>
    <row r="142" spans="1:35" x14ac:dyDescent="0.35">
      <c r="A142" s="185"/>
      <c r="B142" s="141">
        <f>+B141-U143</f>
        <v>2598</v>
      </c>
      <c r="C142" s="128">
        <v>2700</v>
      </c>
      <c r="D142" s="129">
        <v>0.4</v>
      </c>
      <c r="E142" s="145">
        <f>+V145</f>
        <v>0.1</v>
      </c>
      <c r="F142" s="64">
        <f t="shared" si="36"/>
        <v>1080</v>
      </c>
      <c r="G142" s="105">
        <v>1</v>
      </c>
      <c r="H142" s="59">
        <f t="shared" ref="H142:H152" si="38">+F142*G142</f>
        <v>1080</v>
      </c>
      <c r="I142" s="59">
        <f t="shared" si="37"/>
        <v>0.4</v>
      </c>
      <c r="J142" s="65">
        <f t="shared" ref="J142:J150" si="39">(+G142-G143)*G142</f>
        <v>0</v>
      </c>
      <c r="K142" s="66">
        <f t="shared" ref="K142:K150" si="40">1-G143</f>
        <v>0</v>
      </c>
      <c r="L142" s="66">
        <f>+SUM(F141:F142)</f>
        <v>1631.4192</v>
      </c>
      <c r="M142" s="67">
        <f>+SUM(D141:D142)</f>
        <v>0.60000000000000009</v>
      </c>
      <c r="N142" s="63"/>
      <c r="O142" s="151">
        <f>+Q142/M142</f>
        <v>2773.41264</v>
      </c>
      <c r="P142" s="149"/>
      <c r="Q142" s="149">
        <f>+L142*(1+P140)</f>
        <v>1664.0475840000001</v>
      </c>
      <c r="R142" s="152">
        <f t="shared" ref="R142:R151" si="41">+Q142-L142</f>
        <v>32.628384000000096</v>
      </c>
      <c r="T142" s="136" t="s">
        <v>60</v>
      </c>
      <c r="U142" s="125">
        <v>100</v>
      </c>
      <c r="V142" s="51" t="s">
        <v>84</v>
      </c>
      <c r="Y142" s="137"/>
      <c r="AD142" s="117" t="s">
        <v>59</v>
      </c>
      <c r="AE142" s="125"/>
      <c r="AF142" s="125"/>
      <c r="AG142" s="125"/>
      <c r="AH142" s="125"/>
      <c r="AI142" s="123" t="s">
        <v>73</v>
      </c>
    </row>
    <row r="143" spans="1:35" ht="15" thickBot="1" x14ac:dyDescent="0.4">
      <c r="A143" s="186"/>
      <c r="B143" s="141">
        <f>+B142-U143</f>
        <v>2548</v>
      </c>
      <c r="C143" s="128">
        <v>2660</v>
      </c>
      <c r="D143" s="129">
        <v>0.8</v>
      </c>
      <c r="E143" s="145">
        <f>+W145</f>
        <v>0.3</v>
      </c>
      <c r="F143" s="64">
        <f t="shared" si="36"/>
        <v>2128</v>
      </c>
      <c r="G143" s="105">
        <v>1</v>
      </c>
      <c r="H143" s="59">
        <f t="shared" si="38"/>
        <v>2128</v>
      </c>
      <c r="I143" s="59">
        <f t="shared" si="37"/>
        <v>0.8</v>
      </c>
      <c r="J143" s="65">
        <f t="shared" si="39"/>
        <v>0</v>
      </c>
      <c r="K143" s="66">
        <f t="shared" si="40"/>
        <v>0</v>
      </c>
      <c r="L143" s="66">
        <f>+SUM(F141:F143)</f>
        <v>3759.4192000000003</v>
      </c>
      <c r="M143" s="67">
        <f>+SUM(D141:D143)</f>
        <v>1.4000000000000001</v>
      </c>
      <c r="N143" s="63"/>
      <c r="O143" s="151">
        <f>+Q143/M143</f>
        <v>2739.0054171428569</v>
      </c>
      <c r="P143" s="149"/>
      <c r="Q143" s="149">
        <f>+L143*(1+P140)</f>
        <v>3834.6075840000003</v>
      </c>
      <c r="R143" s="152">
        <f t="shared" si="41"/>
        <v>75.188384000000042</v>
      </c>
      <c r="T143" s="136" t="s">
        <v>59</v>
      </c>
      <c r="U143" s="125">
        <v>50</v>
      </c>
      <c r="V143" s="15" t="s">
        <v>86</v>
      </c>
      <c r="W143" s="125">
        <v>25</v>
      </c>
      <c r="X143" s="51" t="s">
        <v>89</v>
      </c>
      <c r="Y143" s="138"/>
      <c r="AD143" s="117" t="s">
        <v>61</v>
      </c>
      <c r="AE143" s="125"/>
      <c r="AF143" s="125"/>
      <c r="AG143" s="125"/>
      <c r="AH143" s="125"/>
      <c r="AI143" s="118" t="s">
        <v>74</v>
      </c>
    </row>
    <row r="144" spans="1:35" ht="15" thickTop="1" x14ac:dyDescent="0.35">
      <c r="A144" s="121" t="s">
        <v>95</v>
      </c>
      <c r="B144" s="141">
        <f>+B143-U143</f>
        <v>2498</v>
      </c>
      <c r="C144" s="128">
        <v>2635</v>
      </c>
      <c r="D144" s="129">
        <v>1.4</v>
      </c>
      <c r="E144" s="145">
        <f>+X145</f>
        <v>0.6</v>
      </c>
      <c r="F144" s="64">
        <f t="shared" si="36"/>
        <v>3688.9999999999995</v>
      </c>
      <c r="G144" s="105">
        <v>1</v>
      </c>
      <c r="H144" s="59">
        <f t="shared" si="38"/>
        <v>3688.9999999999995</v>
      </c>
      <c r="I144" s="59">
        <f t="shared" si="37"/>
        <v>1.4</v>
      </c>
      <c r="J144" s="65">
        <f t="shared" si="39"/>
        <v>1</v>
      </c>
      <c r="K144" s="66">
        <f t="shared" si="40"/>
        <v>1</v>
      </c>
      <c r="L144" s="66">
        <f>+SUM(F141:F144)</f>
        <v>7448.4192000000003</v>
      </c>
      <c r="M144" s="67">
        <f>+SUM(D141:D144)</f>
        <v>2.8</v>
      </c>
      <c r="N144" s="63"/>
      <c r="O144" s="151">
        <f>+Q144/M144</f>
        <v>2713.3527085714286</v>
      </c>
      <c r="P144" s="149"/>
      <c r="Q144" s="149">
        <f>+L144*(1+P140)</f>
        <v>7597.3875840000001</v>
      </c>
      <c r="R144" s="152">
        <f t="shared" si="41"/>
        <v>148.96838399999979</v>
      </c>
      <c r="T144" s="136" t="s">
        <v>61</v>
      </c>
      <c r="U144" s="125">
        <v>300</v>
      </c>
      <c r="V144" s="51" t="s">
        <v>84</v>
      </c>
      <c r="Y144" s="137"/>
      <c r="AD144" s="117" t="s">
        <v>62</v>
      </c>
      <c r="AE144" s="125"/>
      <c r="AF144" s="125"/>
      <c r="AG144" s="125"/>
      <c r="AH144" s="125"/>
      <c r="AI144" s="118" t="s">
        <v>75</v>
      </c>
    </row>
    <row r="145" spans="1:35" ht="15" thickBot="1" x14ac:dyDescent="0.4">
      <c r="A145" s="122">
        <v>2748</v>
      </c>
      <c r="B145" s="141">
        <f>+B144-U143</f>
        <v>2448</v>
      </c>
      <c r="C145" s="128">
        <v>2600</v>
      </c>
      <c r="D145" s="129">
        <v>2</v>
      </c>
      <c r="E145" s="145">
        <f>+Y145</f>
        <v>1.2</v>
      </c>
      <c r="F145" s="64">
        <f t="shared" si="36"/>
        <v>5200</v>
      </c>
      <c r="G145" s="106"/>
      <c r="H145" s="59">
        <f t="shared" si="38"/>
        <v>0</v>
      </c>
      <c r="I145" s="59">
        <f t="shared" si="37"/>
        <v>0</v>
      </c>
      <c r="J145" s="65">
        <f t="shared" si="39"/>
        <v>0</v>
      </c>
      <c r="K145" s="66">
        <f t="shared" si="40"/>
        <v>1</v>
      </c>
      <c r="L145" s="66">
        <f>+SUM(F141:F145)</f>
        <v>12648.4192</v>
      </c>
      <c r="M145" s="67">
        <f>+SUM(D141:D145)</f>
        <v>4.8</v>
      </c>
      <c r="N145" s="63"/>
      <c r="O145" s="151">
        <f>+Q145/M145</f>
        <v>2687.78908</v>
      </c>
      <c r="P145" s="149"/>
      <c r="Q145" s="149">
        <f>+L145*(1+P140)</f>
        <v>12901.387584</v>
      </c>
      <c r="R145" s="152">
        <f t="shared" si="41"/>
        <v>252.96838399999979</v>
      </c>
      <c r="T145" s="136" t="s">
        <v>85</v>
      </c>
      <c r="U145" s="132">
        <v>0.05</v>
      </c>
      <c r="V145" s="132">
        <v>0.1</v>
      </c>
      <c r="W145" s="132">
        <v>0.3</v>
      </c>
      <c r="X145" s="132">
        <v>0.6</v>
      </c>
      <c r="Y145" s="133">
        <v>1.2</v>
      </c>
      <c r="AD145" s="117"/>
      <c r="AE145" s="125"/>
      <c r="AF145" s="125"/>
      <c r="AG145" s="125"/>
      <c r="AH145" s="125"/>
      <c r="AI145" s="118" t="s">
        <v>76</v>
      </c>
    </row>
    <row r="146" spans="1:35" ht="15" customHeight="1" thickTop="1" thickBot="1" x14ac:dyDescent="0.4">
      <c r="A146" s="139" t="s">
        <v>91</v>
      </c>
      <c r="B146" s="141">
        <f>+B145-U143</f>
        <v>2398</v>
      </c>
      <c r="C146" s="128"/>
      <c r="D146" s="129"/>
      <c r="E146" s="145">
        <f>+Y146</f>
        <v>0</v>
      </c>
      <c r="F146" s="64">
        <f t="shared" si="36"/>
        <v>0</v>
      </c>
      <c r="G146" s="106"/>
      <c r="H146" s="59">
        <f t="shared" si="38"/>
        <v>0</v>
      </c>
      <c r="I146" s="59">
        <f t="shared" si="37"/>
        <v>0</v>
      </c>
      <c r="J146" s="65">
        <f t="shared" si="39"/>
        <v>0</v>
      </c>
      <c r="K146" s="66">
        <f t="shared" si="40"/>
        <v>1</v>
      </c>
      <c r="L146" s="66">
        <f>+SUM(F141:F146)</f>
        <v>12648.4192</v>
      </c>
      <c r="M146" s="67">
        <f>+SUM(D141:D146)</f>
        <v>4.8</v>
      </c>
      <c r="N146" s="63"/>
      <c r="O146" s="151">
        <f t="shared" ref="O146:O151" si="42">+Q146/M146</f>
        <v>2687.78908</v>
      </c>
      <c r="P146" s="149"/>
      <c r="Q146" s="149">
        <f>+L146*(1+P140)</f>
        <v>12901.387584</v>
      </c>
      <c r="R146" s="152">
        <f t="shared" si="41"/>
        <v>252.96838399999979</v>
      </c>
      <c r="T146" s="2" t="s">
        <v>87</v>
      </c>
      <c r="U146" s="135">
        <v>0.02</v>
      </c>
      <c r="V146" s="126"/>
      <c r="W146" s="126"/>
      <c r="X146" s="126"/>
      <c r="Y146" s="120"/>
      <c r="AD146" s="119"/>
      <c r="AE146" s="126"/>
      <c r="AF146" s="126"/>
      <c r="AG146" s="126"/>
      <c r="AH146" s="126"/>
      <c r="AI146" s="120"/>
    </row>
    <row r="147" spans="1:35" ht="15" customHeight="1" x14ac:dyDescent="0.35">
      <c r="A147" s="139">
        <f>+A145-U144</f>
        <v>2448</v>
      </c>
      <c r="B147" s="141">
        <f>+B146-U143</f>
        <v>2348</v>
      </c>
      <c r="C147" s="128"/>
      <c r="D147" s="129"/>
      <c r="E147" s="145">
        <f>+Y147</f>
        <v>0</v>
      </c>
      <c r="F147" s="64"/>
      <c r="G147" s="106"/>
      <c r="H147" s="59">
        <f t="shared" si="38"/>
        <v>0</v>
      </c>
      <c r="I147" s="59">
        <f t="shared" si="37"/>
        <v>0</v>
      </c>
      <c r="J147" s="65">
        <f t="shared" si="39"/>
        <v>0</v>
      </c>
      <c r="K147" s="66">
        <f t="shared" si="40"/>
        <v>1</v>
      </c>
      <c r="L147" s="66">
        <f>+SUM(F141:F147)</f>
        <v>12648.4192</v>
      </c>
      <c r="M147" s="67">
        <f>+SUM(D141:D147)</f>
        <v>4.8</v>
      </c>
      <c r="N147" s="63"/>
      <c r="O147" s="151">
        <f t="shared" si="42"/>
        <v>2687.78908</v>
      </c>
      <c r="P147" s="149"/>
      <c r="Q147" s="149">
        <f>+L147*(1+P140)</f>
        <v>12901.387584</v>
      </c>
      <c r="R147" s="152">
        <f t="shared" si="41"/>
        <v>252.96838399999979</v>
      </c>
      <c r="AE147" s="15"/>
      <c r="AF147" s="15"/>
      <c r="AG147" s="15"/>
      <c r="AH147" s="15"/>
    </row>
    <row r="148" spans="1:35" ht="15" hidden="1" customHeight="1" x14ac:dyDescent="0.35">
      <c r="B148" s="141">
        <f>+B147-U143</f>
        <v>2298</v>
      </c>
      <c r="C148" s="128"/>
      <c r="D148" s="129"/>
      <c r="E148" s="145"/>
      <c r="F148" s="64"/>
      <c r="G148" s="106"/>
      <c r="H148" s="59">
        <f t="shared" si="38"/>
        <v>0</v>
      </c>
      <c r="I148" s="59">
        <f t="shared" si="37"/>
        <v>0</v>
      </c>
      <c r="J148" s="65">
        <f t="shared" si="39"/>
        <v>0</v>
      </c>
      <c r="K148" s="66">
        <f t="shared" si="40"/>
        <v>1</v>
      </c>
      <c r="L148" s="66">
        <f>+SUM(F141:F148)</f>
        <v>12648.4192</v>
      </c>
      <c r="M148" s="67">
        <f>+SUM(D141:D148)</f>
        <v>4.8</v>
      </c>
      <c r="N148" s="63"/>
      <c r="O148" s="151">
        <f t="shared" si="42"/>
        <v>2687.78908</v>
      </c>
      <c r="P148" s="149"/>
      <c r="Q148" s="149">
        <f>+L148*(1+P140)</f>
        <v>12901.387584</v>
      </c>
      <c r="R148" s="152">
        <f t="shared" si="41"/>
        <v>252.96838399999979</v>
      </c>
      <c r="AE148" s="15"/>
      <c r="AF148" s="15"/>
      <c r="AG148" s="15"/>
      <c r="AH148" s="15"/>
    </row>
    <row r="149" spans="1:35" ht="15" hidden="1" customHeight="1" x14ac:dyDescent="0.35">
      <c r="B149" s="141">
        <f>+B148-U143</f>
        <v>2248</v>
      </c>
      <c r="C149" s="128"/>
      <c r="D149" s="129"/>
      <c r="E149" s="145"/>
      <c r="F149" s="64"/>
      <c r="G149" s="106"/>
      <c r="H149" s="59">
        <f t="shared" si="38"/>
        <v>0</v>
      </c>
      <c r="I149" s="59">
        <f t="shared" si="37"/>
        <v>0</v>
      </c>
      <c r="J149" s="65">
        <f t="shared" si="39"/>
        <v>0</v>
      </c>
      <c r="K149" s="66">
        <f t="shared" si="40"/>
        <v>1</v>
      </c>
      <c r="L149" s="66">
        <f>+SUM(F141:F149)</f>
        <v>12648.4192</v>
      </c>
      <c r="M149" s="67">
        <f>+SUM(D141:D149)</f>
        <v>4.8</v>
      </c>
      <c r="N149" s="63"/>
      <c r="O149" s="151">
        <f t="shared" si="42"/>
        <v>2687.78908</v>
      </c>
      <c r="P149" s="149"/>
      <c r="Q149" s="149">
        <f>+L149*(1+P140)</f>
        <v>12901.387584</v>
      </c>
      <c r="R149" s="152">
        <f t="shared" si="41"/>
        <v>252.96838399999979</v>
      </c>
      <c r="AE149" s="15"/>
      <c r="AF149" s="15"/>
      <c r="AG149" s="15"/>
      <c r="AH149" s="15"/>
    </row>
    <row r="150" spans="1:35" ht="15" hidden="1" customHeight="1" x14ac:dyDescent="0.35">
      <c r="B150" s="141">
        <f>+B149-U143</f>
        <v>2198</v>
      </c>
      <c r="C150" s="128"/>
      <c r="D150" s="129"/>
      <c r="E150" s="145"/>
      <c r="F150" s="64"/>
      <c r="G150" s="106"/>
      <c r="H150" s="59">
        <f t="shared" si="38"/>
        <v>0</v>
      </c>
      <c r="I150" s="59">
        <f t="shared" si="37"/>
        <v>0</v>
      </c>
      <c r="J150" s="65">
        <f t="shared" si="39"/>
        <v>0</v>
      </c>
      <c r="K150" s="66">
        <f t="shared" si="40"/>
        <v>1</v>
      </c>
      <c r="L150" s="66">
        <f>+SUM(F141:F150)</f>
        <v>12648.4192</v>
      </c>
      <c r="M150" s="67">
        <f>+SUM(D141:D150)</f>
        <v>4.8</v>
      </c>
      <c r="N150" s="63"/>
      <c r="O150" s="151">
        <f t="shared" si="42"/>
        <v>2687.78908</v>
      </c>
      <c r="P150" s="149"/>
      <c r="Q150" s="149">
        <f>+L150*(1+P140)</f>
        <v>12901.387584</v>
      </c>
      <c r="R150" s="152">
        <f t="shared" si="41"/>
        <v>252.96838399999979</v>
      </c>
      <c r="AE150" s="15"/>
      <c r="AF150" s="15"/>
      <c r="AG150" s="15"/>
      <c r="AH150" s="15"/>
    </row>
    <row r="151" spans="1:35" ht="15" hidden="1" customHeight="1" x14ac:dyDescent="0.35">
      <c r="B151" s="141">
        <f>+B150-U143</f>
        <v>2148</v>
      </c>
      <c r="C151" s="128"/>
      <c r="D151" s="129"/>
      <c r="E151" s="145"/>
      <c r="F151" s="64"/>
      <c r="G151" s="106"/>
      <c r="H151" s="59">
        <f t="shared" si="38"/>
        <v>0</v>
      </c>
      <c r="I151" s="59">
        <f t="shared" si="37"/>
        <v>0</v>
      </c>
      <c r="J151" s="65">
        <f>(+G151-G152)*G151</f>
        <v>0</v>
      </c>
      <c r="K151" s="66">
        <f>1-G152</f>
        <v>1</v>
      </c>
      <c r="L151" s="66">
        <f>+SUM(F141:F151)</f>
        <v>12648.4192</v>
      </c>
      <c r="M151" s="67">
        <f>+SUM(D142:D152)</f>
        <v>4.5999999999999996</v>
      </c>
      <c r="N151" s="63"/>
      <c r="O151" s="151">
        <f t="shared" si="42"/>
        <v>2804.6494747826091</v>
      </c>
      <c r="P151" s="149"/>
      <c r="Q151" s="149">
        <f>+L151*(1+P140)</f>
        <v>12901.387584</v>
      </c>
      <c r="R151" s="152">
        <f t="shared" si="41"/>
        <v>252.96838399999979</v>
      </c>
      <c r="AE151" s="15"/>
      <c r="AF151" s="15"/>
      <c r="AG151" s="15"/>
      <c r="AH151" s="15"/>
    </row>
    <row r="152" spans="1:35" ht="15" hidden="1" customHeight="1" x14ac:dyDescent="0.35">
      <c r="A152" t="s">
        <v>54</v>
      </c>
      <c r="B152" s="141"/>
      <c r="C152" s="128"/>
      <c r="D152" s="129"/>
      <c r="E152" s="145"/>
      <c r="F152" s="64"/>
      <c r="G152" s="106"/>
      <c r="H152" s="59">
        <f t="shared" si="38"/>
        <v>0</v>
      </c>
      <c r="I152" s="59">
        <f t="shared" si="37"/>
        <v>0</v>
      </c>
      <c r="J152" s="65">
        <f>(+G152-G153)*G152</f>
        <v>0</v>
      </c>
      <c r="K152" s="66">
        <f>1-G153</f>
        <v>1</v>
      </c>
      <c r="L152" s="66">
        <f>+SUM(F141:F152)</f>
        <v>12648.4192</v>
      </c>
      <c r="M152" s="67">
        <f>+SUM(D141:D152)</f>
        <v>4.8</v>
      </c>
      <c r="N152" s="63"/>
      <c r="O152" s="151">
        <f>+Q152/M152</f>
        <v>2687.78908</v>
      </c>
      <c r="P152" s="149"/>
      <c r="Q152" s="149">
        <f>+L152*(1+P140)</f>
        <v>12901.387584</v>
      </c>
      <c r="R152" s="152">
        <f>+Q152-L152</f>
        <v>252.96838399999979</v>
      </c>
      <c r="AE152" s="15"/>
      <c r="AF152" s="15"/>
      <c r="AG152" s="15"/>
      <c r="AH152" s="15"/>
    </row>
    <row r="153" spans="1:35" ht="15" thickBot="1" x14ac:dyDescent="0.4">
      <c r="B153" s="142"/>
      <c r="C153" s="128"/>
      <c r="D153" s="129"/>
      <c r="E153" s="146"/>
      <c r="F153" s="68"/>
      <c r="G153" s="107"/>
      <c r="H153" s="69"/>
      <c r="I153" s="69">
        <f t="shared" si="37"/>
        <v>0</v>
      </c>
      <c r="J153" s="70">
        <f>(+G153-G154)*G153</f>
        <v>0</v>
      </c>
      <c r="K153" s="71">
        <f>1-G154</f>
        <v>1</v>
      </c>
      <c r="L153" s="71"/>
      <c r="M153" s="72"/>
      <c r="N153" s="73"/>
      <c r="O153" s="153"/>
      <c r="P153" s="154"/>
      <c r="Q153" s="154"/>
      <c r="R153" s="155"/>
      <c r="AE153" s="15"/>
      <c r="AF153" s="15"/>
      <c r="AG153" s="15"/>
      <c r="AH153" s="15"/>
    </row>
    <row r="154" spans="1:35" ht="15.5" thickTop="1" thickBot="1" x14ac:dyDescent="0.4">
      <c r="C154" s="74"/>
      <c r="D154" s="177" t="s">
        <v>41</v>
      </c>
      <c r="E154" s="178"/>
      <c r="F154" s="75" t="s">
        <v>42</v>
      </c>
      <c r="G154" s="76"/>
      <c r="H154" s="15"/>
      <c r="I154" s="15"/>
      <c r="J154" s="15"/>
      <c r="K154" s="15"/>
      <c r="L154" s="15"/>
      <c r="M154" s="15"/>
      <c r="N154" s="77"/>
      <c r="O154" s="156" t="s">
        <v>46</v>
      </c>
      <c r="P154" s="157">
        <f>+P140</f>
        <v>0.02</v>
      </c>
      <c r="Q154" s="158" t="s">
        <v>25</v>
      </c>
      <c r="R154" s="158" t="s">
        <v>26</v>
      </c>
      <c r="S154" s="78"/>
      <c r="AE154" s="15"/>
      <c r="AF154" s="15"/>
      <c r="AG154" s="15"/>
      <c r="AH154" s="15"/>
    </row>
    <row r="155" spans="1:35" ht="15" thickBot="1" x14ac:dyDescent="0.4">
      <c r="C155" s="79"/>
      <c r="D155" s="179">
        <f>+D141*G141+D142*G142+D143*G143+D144*G144+D145*G145+D146*G146+D147*G147+D148*G148+D149*G149+D150*G150+D151*G151+D152*G152+D153*G153</f>
        <v>2.8</v>
      </c>
      <c r="E155" s="180"/>
      <c r="F155" s="80">
        <f>+F141*G141+F142*G142+F143*G143+F144*G144+F145*G145+F146*G146+F147*G147+F148*G148+F149*G149+F150*G150+F151*G151+F152*G152+F153*G153</f>
        <v>7448.4192000000003</v>
      </c>
      <c r="G155" s="81"/>
      <c r="H155" s="15"/>
      <c r="I155" s="15"/>
      <c r="J155" s="15"/>
      <c r="K155" s="15"/>
      <c r="L155" s="15"/>
      <c r="M155" s="15"/>
      <c r="N155" s="77"/>
      <c r="O155" s="191">
        <f>+Q155/D155</f>
        <v>2713.3527085714286</v>
      </c>
      <c r="P155" s="192"/>
      <c r="Q155" s="159">
        <f>+F155*(1+P140)</f>
        <v>7597.3875840000001</v>
      </c>
      <c r="R155" s="159">
        <f>+Q155-F155</f>
        <v>148.96838399999979</v>
      </c>
      <c r="S155" s="82">
        <f>+(Q155/F155-1)</f>
        <v>2.0000000000000018E-2</v>
      </c>
      <c r="AE155" s="15"/>
      <c r="AF155" s="15"/>
      <c r="AG155" s="15"/>
      <c r="AH155" s="15"/>
    </row>
    <row r="156" spans="1:35" ht="15.5" thickTop="1" thickBot="1" x14ac:dyDescent="0.4">
      <c r="D156" s="83"/>
      <c r="E156" s="83"/>
      <c r="O156" s="160"/>
      <c r="R156" s="161"/>
      <c r="AE156" s="15"/>
      <c r="AF156" s="15"/>
      <c r="AG156" s="15"/>
      <c r="AH156" s="15"/>
    </row>
    <row r="157" spans="1:35" ht="22" thickTop="1" thickBot="1" x14ac:dyDescent="0.4">
      <c r="C157" s="84"/>
      <c r="D157" s="147" t="s">
        <v>43</v>
      </c>
      <c r="E157" s="148"/>
      <c r="F157" s="85">
        <f>+SUM(F141:F154)</f>
        <v>12648.4192</v>
      </c>
      <c r="AE157" s="15"/>
      <c r="AF157" s="15"/>
      <c r="AG157" s="15"/>
      <c r="AH157" s="15"/>
    </row>
    <row r="158" spans="1:35" ht="15.5" thickTop="1" thickBot="1" x14ac:dyDescent="0.4">
      <c r="C158" s="84"/>
      <c r="D158" s="86"/>
      <c r="E158" s="86"/>
      <c r="F158" s="87"/>
      <c r="O158" s="177" t="s">
        <v>47</v>
      </c>
      <c r="P158" s="205"/>
      <c r="Q158" s="158" t="s">
        <v>25</v>
      </c>
      <c r="R158" s="158" t="s">
        <v>26</v>
      </c>
      <c r="AE158" s="15"/>
      <c r="AF158" s="15"/>
      <c r="AG158" s="15"/>
      <c r="AH158" s="15"/>
    </row>
    <row r="159" spans="1:35" x14ac:dyDescent="0.35">
      <c r="C159" s="84"/>
      <c r="D159" s="88"/>
      <c r="E159" s="88"/>
      <c r="F159" s="89" t="s">
        <v>55</v>
      </c>
      <c r="G159" s="90"/>
      <c r="H159" s="90"/>
      <c r="I159" s="90"/>
      <c r="J159" s="90"/>
      <c r="K159" s="90"/>
      <c r="L159" s="90"/>
      <c r="M159" s="90"/>
      <c r="N159" s="91"/>
      <c r="O159" s="196">
        <f>(C141+(C142*J142+C143*J143+C144*J144+C145*J145+C146*J146+C147*J147+C148*J148+C149*J149+C150*J150+C151*J151+C152*J152+C153*J153))/2</f>
        <v>2696.0479999999998</v>
      </c>
      <c r="P159" s="197"/>
      <c r="Q159" s="162">
        <f>+O159*D155</f>
        <v>7548.9343999999992</v>
      </c>
      <c r="R159" s="162">
        <f>+Q159-F155</f>
        <v>100.51519999999891</v>
      </c>
      <c r="S159" s="92">
        <f>+(Q159/F155-1)</f>
        <v>1.3494836595663084E-2</v>
      </c>
      <c r="AE159" s="15"/>
      <c r="AF159" s="15"/>
      <c r="AG159" s="15"/>
      <c r="AH159" s="15"/>
    </row>
    <row r="160" spans="1:35" x14ac:dyDescent="0.35">
      <c r="D160" s="93"/>
      <c r="E160" s="93"/>
      <c r="F160" s="94" t="s">
        <v>56</v>
      </c>
      <c r="G160" s="95"/>
      <c r="H160" s="95"/>
      <c r="I160" s="95"/>
      <c r="J160" s="95"/>
      <c r="K160" s="95"/>
      <c r="L160" s="95"/>
      <c r="M160" s="95"/>
      <c r="N160" s="96"/>
      <c r="O160" s="198">
        <f>(2*C141+(C142*J142+C143*J143+C144*J144+C145*J145+C146*J146+C147*J147+C148*J148+C149*J149+C150*J150+C151*J151+C152*J152+C153*J153))/3</f>
        <v>2716.3973333333333</v>
      </c>
      <c r="P160" s="199"/>
      <c r="Q160" s="163">
        <f>+O160*D155</f>
        <v>7605.9125333333332</v>
      </c>
      <c r="R160" s="163">
        <f>+Q160-F155</f>
        <v>157.49333333333288</v>
      </c>
      <c r="S160" s="97">
        <f>+(Q160/F155-1)</f>
        <v>2.1144531356845908E-2</v>
      </c>
      <c r="AE160" s="15"/>
      <c r="AF160" s="15"/>
      <c r="AG160" s="15"/>
      <c r="AH160" s="15"/>
    </row>
    <row r="161" spans="1:35" ht="15" thickBot="1" x14ac:dyDescent="0.4">
      <c r="D161" s="93"/>
      <c r="E161" s="93"/>
      <c r="F161" s="98" t="s">
        <v>57</v>
      </c>
      <c r="G161" s="99"/>
      <c r="H161" s="99"/>
      <c r="I161" s="99"/>
      <c r="J161" s="99"/>
      <c r="K161" s="99"/>
      <c r="L161" s="99"/>
      <c r="M161" s="99"/>
      <c r="N161" s="100"/>
      <c r="O161" s="200">
        <f>+C141</f>
        <v>2757.096</v>
      </c>
      <c r="P161" s="201"/>
      <c r="Q161" s="164">
        <f>+O161*D155</f>
        <v>7719.8687999999993</v>
      </c>
      <c r="R161" s="164">
        <f>+Q161-F155</f>
        <v>271.44959999999901</v>
      </c>
      <c r="S161" s="101">
        <f>+(Q161/F155-1)</f>
        <v>3.6443920879211333E-2</v>
      </c>
      <c r="AE161" s="15"/>
      <c r="AF161" s="15"/>
      <c r="AG161" s="15"/>
      <c r="AH161" s="15"/>
    </row>
    <row r="162" spans="1:35" x14ac:dyDescent="0.35">
      <c r="AE162" s="15"/>
      <c r="AF162" s="15"/>
      <c r="AG162" s="15"/>
      <c r="AH162" s="15"/>
    </row>
    <row r="163" spans="1:35" ht="15" thickBot="1" x14ac:dyDescent="0.4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3"/>
      <c r="P163" s="103"/>
      <c r="Q163" s="103"/>
      <c r="R163" s="103"/>
      <c r="S163" s="103"/>
      <c r="T163" s="102"/>
      <c r="U163" s="103"/>
      <c r="V163" s="103"/>
      <c r="W163" s="103"/>
      <c r="X163" s="103"/>
      <c r="Y163" s="102"/>
      <c r="AD163" s="102"/>
      <c r="AE163" s="103"/>
      <c r="AF163" s="103"/>
      <c r="AG163" s="103"/>
      <c r="AH163" s="103"/>
      <c r="AI163" s="102"/>
    </row>
    <row r="164" spans="1:35" ht="15" thickTop="1" x14ac:dyDescent="0.35">
      <c r="S164" s="51"/>
      <c r="AE164" s="15"/>
      <c r="AF164" s="15"/>
      <c r="AG164" s="15"/>
      <c r="AH164" s="15"/>
    </row>
    <row r="165" spans="1:35" ht="15" thickBot="1" x14ac:dyDescent="0.4">
      <c r="O165" s="193" t="s">
        <v>51</v>
      </c>
      <c r="P165" s="193"/>
      <c r="Q165" s="193"/>
      <c r="R165" s="193"/>
      <c r="AE165" s="15"/>
      <c r="AF165" s="15"/>
      <c r="AG165" s="15"/>
      <c r="AH165" s="15"/>
    </row>
    <row r="166" spans="1:35" ht="15.5" thickTop="1" thickBot="1" x14ac:dyDescent="0.4">
      <c r="A166" s="202" t="s">
        <v>29</v>
      </c>
      <c r="B166" s="187" t="s">
        <v>40</v>
      </c>
      <c r="C166" s="188"/>
      <c r="D166" s="189" t="s">
        <v>24</v>
      </c>
      <c r="E166" s="190"/>
      <c r="F166" s="52" t="s">
        <v>23</v>
      </c>
      <c r="G166" s="53" t="s">
        <v>34</v>
      </c>
      <c r="H166" s="54" t="s">
        <v>48</v>
      </c>
      <c r="I166" s="54" t="s">
        <v>49</v>
      </c>
      <c r="J166" s="55" t="s">
        <v>38</v>
      </c>
      <c r="K166" s="56" t="s">
        <v>39</v>
      </c>
      <c r="L166" s="56" t="s">
        <v>35</v>
      </c>
      <c r="M166" s="57" t="s">
        <v>50</v>
      </c>
      <c r="N166" s="15"/>
      <c r="O166" s="149" t="s">
        <v>45</v>
      </c>
      <c r="P166" s="150">
        <f>+U172</f>
        <v>0.02</v>
      </c>
      <c r="Q166" s="149" t="s">
        <v>25</v>
      </c>
      <c r="R166" s="149" t="s">
        <v>26</v>
      </c>
      <c r="T166" s="181" t="s">
        <v>58</v>
      </c>
      <c r="U166" s="182"/>
      <c r="V166" s="182"/>
      <c r="W166" s="182"/>
      <c r="X166" s="182"/>
      <c r="Y166" s="183"/>
      <c r="AD166" s="115" t="s">
        <v>58</v>
      </c>
      <c r="AE166" s="124"/>
      <c r="AF166" s="124"/>
      <c r="AG166" s="124"/>
      <c r="AH166" s="124"/>
      <c r="AI166" s="116"/>
    </row>
    <row r="167" spans="1:35" ht="15" thickTop="1" x14ac:dyDescent="0.35">
      <c r="A167" s="203"/>
      <c r="B167" s="140">
        <f>+A171-U168</f>
        <v>4.5999999999999999E-2</v>
      </c>
      <c r="C167" s="128"/>
      <c r="D167" s="129">
        <v>5000</v>
      </c>
      <c r="E167" s="144">
        <f>+U171</f>
        <v>1000</v>
      </c>
      <c r="F167" s="58">
        <f t="shared" ref="F167:F173" si="43">+C167*D167</f>
        <v>0</v>
      </c>
      <c r="G167" s="105">
        <v>1</v>
      </c>
      <c r="H167" s="59">
        <f>+F167*G167</f>
        <v>0</v>
      </c>
      <c r="I167" s="59">
        <f t="shared" ref="I167:I179" si="44">+D167*G167</f>
        <v>5000</v>
      </c>
      <c r="J167" s="60">
        <f>(+G167-G168)*G167</f>
        <v>1</v>
      </c>
      <c r="K167" s="61">
        <f>1-G168</f>
        <v>1</v>
      </c>
      <c r="L167" s="61">
        <f>+SUM(F167)</f>
        <v>0</v>
      </c>
      <c r="M167" s="62">
        <f>+SUM(D167)</f>
        <v>5000</v>
      </c>
      <c r="N167" s="63"/>
      <c r="O167" s="169">
        <f>(Q167/M167)</f>
        <v>0</v>
      </c>
      <c r="P167" s="149"/>
      <c r="Q167" s="149">
        <f>+L167*(1+P166)</f>
        <v>0</v>
      </c>
      <c r="R167" s="152">
        <f>+Q167-L167</f>
        <v>0</v>
      </c>
      <c r="T167" s="136" t="s">
        <v>88</v>
      </c>
      <c r="U167" s="125">
        <f>+A171</f>
        <v>6.0999999999999999E-2</v>
      </c>
      <c r="Y167" s="137"/>
      <c r="AD167" s="117" t="s">
        <v>60</v>
      </c>
      <c r="AE167" s="125"/>
      <c r="AF167" s="125"/>
      <c r="AG167" s="125"/>
      <c r="AH167" s="125"/>
      <c r="AI167" s="118" t="s">
        <v>72</v>
      </c>
    </row>
    <row r="168" spans="1:35" x14ac:dyDescent="0.35">
      <c r="A168" s="203"/>
      <c r="B168" s="141">
        <f>+B167-U169</f>
        <v>4.1000000000000002E-2</v>
      </c>
      <c r="C168" s="128"/>
      <c r="D168" s="129"/>
      <c r="E168" s="145">
        <f>+V171</f>
        <v>2000</v>
      </c>
      <c r="F168" s="64">
        <f t="shared" si="43"/>
        <v>0</v>
      </c>
      <c r="G168" s="105"/>
      <c r="H168" s="59">
        <f t="shared" ref="H168:H178" si="45">+F168*G168</f>
        <v>0</v>
      </c>
      <c r="I168" s="59">
        <f t="shared" si="44"/>
        <v>0</v>
      </c>
      <c r="J168" s="65">
        <f t="shared" ref="J168:J176" si="46">(+G168-G169)*G168</f>
        <v>0</v>
      </c>
      <c r="K168" s="66">
        <f t="shared" ref="K168:K176" si="47">1-G169</f>
        <v>1</v>
      </c>
      <c r="L168" s="66">
        <f>+SUM(F167:F168)</f>
        <v>0</v>
      </c>
      <c r="M168" s="67">
        <f>+SUM(D167:D168)</f>
        <v>5000</v>
      </c>
      <c r="N168" s="63"/>
      <c r="O168" s="169">
        <f>+Q168/M168</f>
        <v>0</v>
      </c>
      <c r="P168" s="149"/>
      <c r="Q168" s="149">
        <f>+L168*(1+P166)</f>
        <v>0</v>
      </c>
      <c r="R168" s="152">
        <f t="shared" ref="R168:R177" si="48">+Q168-L168</f>
        <v>0</v>
      </c>
      <c r="T168" s="136" t="s">
        <v>60</v>
      </c>
      <c r="U168" s="125">
        <v>1.4999999999999999E-2</v>
      </c>
      <c r="V168" s="51" t="s">
        <v>84</v>
      </c>
      <c r="Y168" s="137"/>
      <c r="AD168" s="117" t="s">
        <v>59</v>
      </c>
      <c r="AE168" s="125"/>
      <c r="AF168" s="125"/>
      <c r="AG168" s="125"/>
      <c r="AH168" s="125"/>
      <c r="AI168" s="123" t="s">
        <v>73</v>
      </c>
    </row>
    <row r="169" spans="1:35" ht="15" thickBot="1" x14ac:dyDescent="0.4">
      <c r="A169" s="204"/>
      <c r="B169" s="141">
        <f>+B168-U169</f>
        <v>3.6000000000000004E-2</v>
      </c>
      <c r="C169" s="128"/>
      <c r="D169" s="129"/>
      <c r="E169" s="145">
        <f>+W171</f>
        <v>6000</v>
      </c>
      <c r="F169" s="64">
        <f t="shared" si="43"/>
        <v>0</v>
      </c>
      <c r="G169" s="105"/>
      <c r="H169" s="59">
        <f t="shared" si="45"/>
        <v>0</v>
      </c>
      <c r="I169" s="59">
        <f t="shared" si="44"/>
        <v>0</v>
      </c>
      <c r="J169" s="65">
        <f t="shared" si="46"/>
        <v>0</v>
      </c>
      <c r="K169" s="66">
        <f t="shared" si="47"/>
        <v>1</v>
      </c>
      <c r="L169" s="66">
        <f>+SUM(F167:F169)</f>
        <v>0</v>
      </c>
      <c r="M169" s="67">
        <f>+SUM(D167:D169)</f>
        <v>5000</v>
      </c>
      <c r="N169" s="63"/>
      <c r="O169" s="169">
        <f>+Q169/M169</f>
        <v>0</v>
      </c>
      <c r="P169" s="149"/>
      <c r="Q169" s="149">
        <f>+L169*(1+P166)</f>
        <v>0</v>
      </c>
      <c r="R169" s="152">
        <f t="shared" si="48"/>
        <v>0</v>
      </c>
      <c r="T169" s="136" t="s">
        <v>59</v>
      </c>
      <c r="U169" s="125">
        <v>5.0000000000000001E-3</v>
      </c>
      <c r="V169" s="15" t="s">
        <v>86</v>
      </c>
      <c r="W169" s="125">
        <v>3.0000000000000001E-3</v>
      </c>
      <c r="X169" s="51" t="s">
        <v>89</v>
      </c>
      <c r="Y169" s="138"/>
      <c r="AD169" s="117" t="s">
        <v>61</v>
      </c>
      <c r="AE169" s="125"/>
      <c r="AF169" s="125"/>
      <c r="AG169" s="125"/>
      <c r="AH169" s="125"/>
      <c r="AI169" s="118" t="s">
        <v>74</v>
      </c>
    </row>
    <row r="170" spans="1:35" ht="15" thickTop="1" x14ac:dyDescent="0.35">
      <c r="A170" s="121" t="s">
        <v>95</v>
      </c>
      <c r="B170" s="141">
        <f>+B169-U169</f>
        <v>3.1000000000000003E-2</v>
      </c>
      <c r="C170" s="128"/>
      <c r="D170" s="129"/>
      <c r="E170" s="145">
        <f>+X171</f>
        <v>18000</v>
      </c>
      <c r="F170" s="64">
        <f t="shared" si="43"/>
        <v>0</v>
      </c>
      <c r="G170" s="105"/>
      <c r="H170" s="59">
        <f t="shared" si="45"/>
        <v>0</v>
      </c>
      <c r="I170" s="59">
        <f t="shared" si="44"/>
        <v>0</v>
      </c>
      <c r="J170" s="65">
        <f t="shared" si="46"/>
        <v>0</v>
      </c>
      <c r="K170" s="66">
        <f t="shared" si="47"/>
        <v>1</v>
      </c>
      <c r="L170" s="66">
        <f>+SUM(F167:F170)</f>
        <v>0</v>
      </c>
      <c r="M170" s="67">
        <f>+SUM(D167:D170)</f>
        <v>5000</v>
      </c>
      <c r="N170" s="63"/>
      <c r="O170" s="169">
        <f>+Q170/M170</f>
        <v>0</v>
      </c>
      <c r="P170" s="149"/>
      <c r="Q170" s="149">
        <f>+L170*(1+P166)</f>
        <v>0</v>
      </c>
      <c r="R170" s="152">
        <f t="shared" si="48"/>
        <v>0</v>
      </c>
      <c r="T170" s="136" t="s">
        <v>61</v>
      </c>
      <c r="U170" s="125">
        <v>0.03</v>
      </c>
      <c r="V170" s="51" t="s">
        <v>84</v>
      </c>
      <c r="Y170" s="137"/>
      <c r="AD170" s="117" t="s">
        <v>62</v>
      </c>
      <c r="AE170" s="125"/>
      <c r="AF170" s="125"/>
      <c r="AG170" s="125"/>
      <c r="AH170" s="125"/>
      <c r="AI170" s="118" t="s">
        <v>75</v>
      </c>
    </row>
    <row r="171" spans="1:35" ht="15" thickBot="1" x14ac:dyDescent="0.4">
      <c r="A171" s="122">
        <v>6.0999999999999999E-2</v>
      </c>
      <c r="B171" s="141">
        <f>+B170-U169</f>
        <v>2.6000000000000002E-2</v>
      </c>
      <c r="C171" s="128"/>
      <c r="D171" s="129"/>
      <c r="E171" s="145">
        <f>+Y171</f>
        <v>36000</v>
      </c>
      <c r="F171" s="64">
        <f t="shared" si="43"/>
        <v>0</v>
      </c>
      <c r="G171" s="106"/>
      <c r="H171" s="59">
        <f t="shared" si="45"/>
        <v>0</v>
      </c>
      <c r="I171" s="59">
        <f t="shared" si="44"/>
        <v>0</v>
      </c>
      <c r="J171" s="65">
        <f t="shared" si="46"/>
        <v>0</v>
      </c>
      <c r="K171" s="66">
        <f t="shared" si="47"/>
        <v>1</v>
      </c>
      <c r="L171" s="66">
        <f>+SUM(F167:F171)</f>
        <v>0</v>
      </c>
      <c r="M171" s="67">
        <f>+SUM(D167:D171)</f>
        <v>5000</v>
      </c>
      <c r="N171" s="63"/>
      <c r="O171" s="169">
        <f>+Q171/M171</f>
        <v>0</v>
      </c>
      <c r="P171" s="149"/>
      <c r="Q171" s="149">
        <f>+L171*(1+P166)</f>
        <v>0</v>
      </c>
      <c r="R171" s="152">
        <f t="shared" si="48"/>
        <v>0</v>
      </c>
      <c r="T171" s="136" t="s">
        <v>85</v>
      </c>
      <c r="U171" s="132">
        <v>1000</v>
      </c>
      <c r="V171" s="132">
        <v>2000</v>
      </c>
      <c r="W171" s="132">
        <v>6000</v>
      </c>
      <c r="X171" s="132">
        <v>18000</v>
      </c>
      <c r="Y171" s="133">
        <v>36000</v>
      </c>
      <c r="AD171" s="117"/>
      <c r="AE171" s="125"/>
      <c r="AF171" s="125"/>
      <c r="AG171" s="125"/>
      <c r="AH171" s="125"/>
      <c r="AI171" s="118" t="s">
        <v>76</v>
      </c>
    </row>
    <row r="172" spans="1:35" ht="15" customHeight="1" thickTop="1" thickBot="1" x14ac:dyDescent="0.4">
      <c r="A172" s="139" t="s">
        <v>91</v>
      </c>
      <c r="B172" s="141">
        <f>+B171-U169</f>
        <v>2.1000000000000001E-2</v>
      </c>
      <c r="C172" s="128"/>
      <c r="D172" s="129"/>
      <c r="E172" s="145">
        <f>+Y172</f>
        <v>0</v>
      </c>
      <c r="F172" s="64">
        <f t="shared" si="43"/>
        <v>0</v>
      </c>
      <c r="G172" s="106"/>
      <c r="H172" s="59">
        <f t="shared" si="45"/>
        <v>0</v>
      </c>
      <c r="I172" s="59">
        <f t="shared" si="44"/>
        <v>0</v>
      </c>
      <c r="J172" s="65">
        <f t="shared" si="46"/>
        <v>0</v>
      </c>
      <c r="K172" s="66">
        <f t="shared" si="47"/>
        <v>1</v>
      </c>
      <c r="L172" s="66">
        <f>+SUM(F167:F172)</f>
        <v>0</v>
      </c>
      <c r="M172" s="67">
        <f>+SUM(D167:D172)</f>
        <v>5000</v>
      </c>
      <c r="N172" s="63"/>
      <c r="O172" s="169">
        <f t="shared" ref="O172:O177" si="49">+Q172/M172</f>
        <v>0</v>
      </c>
      <c r="P172" s="149"/>
      <c r="Q172" s="149">
        <f>+L172*(1+P166)</f>
        <v>0</v>
      </c>
      <c r="R172" s="152">
        <f t="shared" si="48"/>
        <v>0</v>
      </c>
      <c r="T172" s="2" t="s">
        <v>87</v>
      </c>
      <c r="U172" s="135">
        <v>0.02</v>
      </c>
      <c r="V172" s="126"/>
      <c r="W172" s="126"/>
      <c r="X172" s="126"/>
      <c r="Y172" s="120"/>
      <c r="AD172" s="119"/>
      <c r="AE172" s="126"/>
      <c r="AF172" s="126"/>
      <c r="AG172" s="126"/>
      <c r="AH172" s="126"/>
      <c r="AI172" s="120"/>
    </row>
    <row r="173" spans="1:35" ht="15" customHeight="1" x14ac:dyDescent="0.35">
      <c r="A173" s="139">
        <f>+A171-U170</f>
        <v>3.1E-2</v>
      </c>
      <c r="B173" s="141">
        <f>+B172-U169</f>
        <v>1.6E-2</v>
      </c>
      <c r="C173" s="128"/>
      <c r="D173" s="129"/>
      <c r="E173" s="145">
        <f>+Y173</f>
        <v>0</v>
      </c>
      <c r="F173" s="64">
        <f t="shared" si="43"/>
        <v>0</v>
      </c>
      <c r="G173" s="106">
        <v>0</v>
      </c>
      <c r="H173" s="59">
        <f t="shared" si="45"/>
        <v>0</v>
      </c>
      <c r="I173" s="59">
        <f t="shared" si="44"/>
        <v>0</v>
      </c>
      <c r="J173" s="65">
        <f t="shared" si="46"/>
        <v>0</v>
      </c>
      <c r="K173" s="66">
        <f t="shared" si="47"/>
        <v>1</v>
      </c>
      <c r="L173" s="66">
        <f>+SUM(F167:F173)</f>
        <v>0</v>
      </c>
      <c r="M173" s="67">
        <f>+SUM(D167:D173)</f>
        <v>5000</v>
      </c>
      <c r="N173" s="63"/>
      <c r="O173" s="169">
        <f t="shared" si="49"/>
        <v>0</v>
      </c>
      <c r="P173" s="149"/>
      <c r="Q173" s="149">
        <f>+L173*(1+P166)</f>
        <v>0</v>
      </c>
      <c r="R173" s="152">
        <f t="shared" si="48"/>
        <v>0</v>
      </c>
      <c r="AE173" s="15"/>
      <c r="AF173" s="15"/>
      <c r="AG173" s="15"/>
      <c r="AH173" s="15"/>
    </row>
    <row r="174" spans="1:35" ht="15" customHeight="1" x14ac:dyDescent="0.35">
      <c r="B174" s="141">
        <f>+B173-U169</f>
        <v>1.0999999999999999E-2</v>
      </c>
      <c r="C174" s="128"/>
      <c r="D174" s="129"/>
      <c r="E174" s="145">
        <f>+Y174</f>
        <v>0</v>
      </c>
      <c r="F174" s="64"/>
      <c r="G174" s="106"/>
      <c r="H174" s="59">
        <f t="shared" si="45"/>
        <v>0</v>
      </c>
      <c r="I174" s="59">
        <f t="shared" si="44"/>
        <v>0</v>
      </c>
      <c r="J174" s="65">
        <f t="shared" si="46"/>
        <v>0</v>
      </c>
      <c r="K174" s="66">
        <f t="shared" si="47"/>
        <v>1</v>
      </c>
      <c r="L174" s="66">
        <f>+SUM(F167:F174)</f>
        <v>0</v>
      </c>
      <c r="M174" s="67">
        <f>+SUM(D167:D174)</f>
        <v>5000</v>
      </c>
      <c r="N174" s="63"/>
      <c r="O174" s="169">
        <f t="shared" si="49"/>
        <v>0</v>
      </c>
      <c r="P174" s="149"/>
      <c r="Q174" s="149">
        <f>+L174*(1+P166)</f>
        <v>0</v>
      </c>
      <c r="R174" s="152">
        <f t="shared" si="48"/>
        <v>0</v>
      </c>
      <c r="AE174" s="15"/>
      <c r="AF174" s="15"/>
      <c r="AG174" s="15"/>
      <c r="AH174" s="15"/>
    </row>
    <row r="175" spans="1:35" ht="15" hidden="1" customHeight="1" x14ac:dyDescent="0.35">
      <c r="B175" s="141">
        <f>+B174-U169</f>
        <v>5.9999999999999993E-3</v>
      </c>
      <c r="C175" s="128"/>
      <c r="D175" s="129"/>
      <c r="E175" s="145"/>
      <c r="F175" s="64"/>
      <c r="G175" s="106"/>
      <c r="H175" s="59">
        <f t="shared" si="45"/>
        <v>0</v>
      </c>
      <c r="I175" s="59">
        <f t="shared" si="44"/>
        <v>0</v>
      </c>
      <c r="J175" s="65">
        <f t="shared" si="46"/>
        <v>0</v>
      </c>
      <c r="K175" s="66">
        <f t="shared" si="47"/>
        <v>1</v>
      </c>
      <c r="L175" s="66">
        <f>+SUM(F167:F175)</f>
        <v>0</v>
      </c>
      <c r="M175" s="67">
        <f>+SUM(D167:D175)</f>
        <v>5000</v>
      </c>
      <c r="N175" s="63"/>
      <c r="O175" s="169">
        <f t="shared" si="49"/>
        <v>0</v>
      </c>
      <c r="P175" s="149"/>
      <c r="Q175" s="149">
        <f>+L175*(1+P166)</f>
        <v>0</v>
      </c>
      <c r="R175" s="152">
        <f t="shared" si="48"/>
        <v>0</v>
      </c>
      <c r="AE175" s="15"/>
      <c r="AF175" s="15"/>
      <c r="AG175" s="15"/>
      <c r="AH175" s="15"/>
    </row>
    <row r="176" spans="1:35" ht="15" hidden="1" customHeight="1" x14ac:dyDescent="0.35">
      <c r="B176" s="141">
        <f>+B175-U169</f>
        <v>9.9999999999999915E-4</v>
      </c>
      <c r="C176" s="128"/>
      <c r="D176" s="129"/>
      <c r="E176" s="145"/>
      <c r="F176" s="64"/>
      <c r="G176" s="106"/>
      <c r="H176" s="59">
        <f t="shared" si="45"/>
        <v>0</v>
      </c>
      <c r="I176" s="59">
        <f t="shared" si="44"/>
        <v>0</v>
      </c>
      <c r="J176" s="65">
        <f t="shared" si="46"/>
        <v>0</v>
      </c>
      <c r="K176" s="66">
        <f t="shared" si="47"/>
        <v>1</v>
      </c>
      <c r="L176" s="66">
        <f>+SUM(F167:F176)</f>
        <v>0</v>
      </c>
      <c r="M176" s="67">
        <f>+SUM(D167:D176)</f>
        <v>5000</v>
      </c>
      <c r="N176" s="63"/>
      <c r="O176" s="169">
        <f t="shared" si="49"/>
        <v>0</v>
      </c>
      <c r="P176" s="149"/>
      <c r="Q176" s="149">
        <f>+L176*(1+P166)</f>
        <v>0</v>
      </c>
      <c r="R176" s="152">
        <f t="shared" si="48"/>
        <v>0</v>
      </c>
      <c r="AE176" s="15"/>
      <c r="AF176" s="15"/>
      <c r="AG176" s="15"/>
      <c r="AH176" s="15"/>
    </row>
    <row r="177" spans="1:35" ht="15" hidden="1" customHeight="1" x14ac:dyDescent="0.35">
      <c r="B177" s="141">
        <f>+B176-U169</f>
        <v>-4.000000000000001E-3</v>
      </c>
      <c r="C177" s="128"/>
      <c r="D177" s="129"/>
      <c r="E177" s="145"/>
      <c r="F177" s="64"/>
      <c r="G177" s="106"/>
      <c r="H177" s="59">
        <f t="shared" si="45"/>
        <v>0</v>
      </c>
      <c r="I177" s="59">
        <f t="shared" si="44"/>
        <v>0</v>
      </c>
      <c r="J177" s="65">
        <f>(+G177-G178)*G177</f>
        <v>0</v>
      </c>
      <c r="K177" s="66">
        <f>1-G178</f>
        <v>1</v>
      </c>
      <c r="L177" s="66">
        <f>+SUM(F167:F177)</f>
        <v>0</v>
      </c>
      <c r="M177" s="67">
        <f>+SUM(D168:D178)</f>
        <v>0</v>
      </c>
      <c r="N177" s="63"/>
      <c r="O177" s="169" t="e">
        <f t="shared" si="49"/>
        <v>#DIV/0!</v>
      </c>
      <c r="P177" s="149"/>
      <c r="Q177" s="149">
        <f>+L177*(1+P166)</f>
        <v>0</v>
      </c>
      <c r="R177" s="152">
        <f t="shared" si="48"/>
        <v>0</v>
      </c>
      <c r="AE177" s="15"/>
      <c r="AF177" s="15"/>
      <c r="AG177" s="15"/>
      <c r="AH177" s="15"/>
    </row>
    <row r="178" spans="1:35" ht="15" hidden="1" customHeight="1" x14ac:dyDescent="0.35">
      <c r="A178" t="s">
        <v>54</v>
      </c>
      <c r="B178" s="141"/>
      <c r="C178" s="128"/>
      <c r="D178" s="129"/>
      <c r="E178" s="145"/>
      <c r="F178" s="64"/>
      <c r="G178" s="106"/>
      <c r="H178" s="59">
        <f t="shared" si="45"/>
        <v>0</v>
      </c>
      <c r="I178" s="59">
        <f t="shared" si="44"/>
        <v>0</v>
      </c>
      <c r="J178" s="65">
        <f>(+G178-G179)*G178</f>
        <v>0</v>
      </c>
      <c r="K178" s="66">
        <f>1-G179</f>
        <v>1</v>
      </c>
      <c r="L178" s="66">
        <f>+SUM(F167:F178)</f>
        <v>0</v>
      </c>
      <c r="M178" s="67">
        <f>+SUM(D167:D178)</f>
        <v>5000</v>
      </c>
      <c r="N178" s="63"/>
      <c r="O178" s="169">
        <f>+Q178/M178</f>
        <v>0</v>
      </c>
      <c r="P178" s="149"/>
      <c r="Q178" s="149">
        <f>+L178*(1+P166)</f>
        <v>0</v>
      </c>
      <c r="R178" s="152">
        <f>+Q178-L178</f>
        <v>0</v>
      </c>
      <c r="AE178" s="15"/>
      <c r="AF178" s="15"/>
      <c r="AG178" s="15"/>
      <c r="AH178" s="15"/>
    </row>
    <row r="179" spans="1:35" ht="15" thickBot="1" x14ac:dyDescent="0.4">
      <c r="B179" s="142"/>
      <c r="C179" s="128"/>
      <c r="D179" s="129"/>
      <c r="E179" s="146"/>
      <c r="F179" s="68"/>
      <c r="G179" s="107"/>
      <c r="H179" s="69"/>
      <c r="I179" s="69">
        <f t="shared" si="44"/>
        <v>0</v>
      </c>
      <c r="J179" s="70">
        <f>(+G179-G180)*G179</f>
        <v>0</v>
      </c>
      <c r="K179" s="71">
        <f>1-G180</f>
        <v>1</v>
      </c>
      <c r="L179" s="71"/>
      <c r="M179" s="72"/>
      <c r="N179" s="73"/>
      <c r="O179" s="170"/>
      <c r="P179" s="154"/>
      <c r="Q179" s="154"/>
      <c r="R179" s="155"/>
      <c r="AE179" s="15"/>
      <c r="AF179" s="15"/>
      <c r="AG179" s="15"/>
      <c r="AH179" s="15"/>
    </row>
    <row r="180" spans="1:35" ht="15.5" thickTop="1" thickBot="1" x14ac:dyDescent="0.4">
      <c r="C180" s="74"/>
      <c r="D180" s="177" t="s">
        <v>41</v>
      </c>
      <c r="E180" s="178"/>
      <c r="F180" s="75" t="s">
        <v>42</v>
      </c>
      <c r="G180" s="76"/>
      <c r="H180" s="15"/>
      <c r="I180" s="15"/>
      <c r="J180" s="15"/>
      <c r="K180" s="15"/>
      <c r="L180" s="15"/>
      <c r="M180" s="15"/>
      <c r="N180" s="77"/>
      <c r="O180" s="156" t="s">
        <v>46</v>
      </c>
      <c r="P180" s="157">
        <f>+P166</f>
        <v>0.02</v>
      </c>
      <c r="Q180" s="158" t="s">
        <v>25</v>
      </c>
      <c r="R180" s="158" t="s">
        <v>26</v>
      </c>
      <c r="S180" s="78"/>
      <c r="AE180" s="15"/>
      <c r="AF180" s="15"/>
      <c r="AG180" s="15"/>
      <c r="AH180" s="15"/>
    </row>
    <row r="181" spans="1:35" ht="15" thickBot="1" x14ac:dyDescent="0.4">
      <c r="C181" s="79"/>
      <c r="D181" s="179">
        <f>+D167*G167+D168*G168+D169*G169+D170*G170+D171*G171+D172*G172+D173*G173+D174*G174+D175*G175+D176*G176+D177*G177+D178*G178+D179*G179</f>
        <v>5000</v>
      </c>
      <c r="E181" s="180"/>
      <c r="F181" s="80">
        <f>+F167*G167+F168*G168+F169*G169+F170*G170+F171*G171+F172*G172+F173*G173+F174*G174+F175*G175+F176*G176+F177*G177+F178*G178+F179*G179</f>
        <v>0</v>
      </c>
      <c r="G181" s="81"/>
      <c r="H181" s="15"/>
      <c r="I181" s="15"/>
      <c r="J181" s="15"/>
      <c r="K181" s="15"/>
      <c r="L181" s="15"/>
      <c r="M181" s="15"/>
      <c r="N181" s="77"/>
      <c r="O181" s="194">
        <f>+Q181/D181</f>
        <v>0</v>
      </c>
      <c r="P181" s="195"/>
      <c r="Q181" s="159">
        <f>+F181*(1+P166)</f>
        <v>0</v>
      </c>
      <c r="R181" s="159">
        <f>+Q181-F181</f>
        <v>0</v>
      </c>
      <c r="S181" s="82" t="e">
        <f>+(Q181/F181-1)</f>
        <v>#DIV/0!</v>
      </c>
      <c r="AE181" s="15"/>
      <c r="AF181" s="15"/>
      <c r="AG181" s="15"/>
      <c r="AH181" s="15"/>
    </row>
    <row r="182" spans="1:35" ht="15.5" thickTop="1" thickBot="1" x14ac:dyDescent="0.4">
      <c r="D182" s="83"/>
      <c r="E182" s="83"/>
      <c r="O182" s="160"/>
      <c r="R182" s="161"/>
      <c r="AE182" s="15"/>
      <c r="AF182" s="15"/>
      <c r="AG182" s="15"/>
      <c r="AH182" s="15"/>
    </row>
    <row r="183" spans="1:35" ht="22" thickTop="1" thickBot="1" x14ac:dyDescent="0.4">
      <c r="C183" s="84"/>
      <c r="D183" s="147" t="s">
        <v>43</v>
      </c>
      <c r="E183" s="148"/>
      <c r="F183" s="85">
        <f>+SUM(F167:F180)</f>
        <v>0</v>
      </c>
      <c r="AE183" s="15"/>
      <c r="AF183" s="15"/>
      <c r="AG183" s="15"/>
      <c r="AH183" s="15"/>
    </row>
    <row r="184" spans="1:35" ht="15.5" thickTop="1" thickBot="1" x14ac:dyDescent="0.4">
      <c r="C184" s="84"/>
      <c r="D184" s="86"/>
      <c r="E184" s="86"/>
      <c r="F184" s="87"/>
      <c r="O184" s="177" t="s">
        <v>47</v>
      </c>
      <c r="P184" s="205"/>
      <c r="Q184" s="158" t="s">
        <v>25</v>
      </c>
      <c r="R184" s="158" t="s">
        <v>26</v>
      </c>
      <c r="AE184" s="15"/>
      <c r="AF184" s="15"/>
      <c r="AG184" s="15"/>
      <c r="AH184" s="15"/>
    </row>
    <row r="185" spans="1:35" x14ac:dyDescent="0.35">
      <c r="C185" s="84"/>
      <c r="D185" s="88"/>
      <c r="E185" s="88"/>
      <c r="F185" s="89" t="s">
        <v>55</v>
      </c>
      <c r="G185" s="90"/>
      <c r="H185" s="90"/>
      <c r="I185" s="90"/>
      <c r="J185" s="90"/>
      <c r="K185" s="90"/>
      <c r="L185" s="90"/>
      <c r="M185" s="90"/>
      <c r="N185" s="91"/>
      <c r="O185" s="196">
        <f>(C167+(C168*J168+C169*J169+C170*J170+C171*J171+C172*J172+C173*J173+C174*J174+C175*J175+C176*J176+C177*J177+C178*J178+C179*J179))/2</f>
        <v>0</v>
      </c>
      <c r="P185" s="197"/>
      <c r="Q185" s="162">
        <f>+O185*D181</f>
        <v>0</v>
      </c>
      <c r="R185" s="162">
        <f>+Q185-F181</f>
        <v>0</v>
      </c>
      <c r="S185" s="92" t="e">
        <f>+(Q185/F181-1)</f>
        <v>#DIV/0!</v>
      </c>
      <c r="AE185" s="15"/>
      <c r="AF185" s="15"/>
      <c r="AG185" s="15"/>
      <c r="AH185" s="15"/>
    </row>
    <row r="186" spans="1:35" x14ac:dyDescent="0.35">
      <c r="D186" s="93"/>
      <c r="E186" s="93"/>
      <c r="F186" s="94" t="s">
        <v>56</v>
      </c>
      <c r="G186" s="95"/>
      <c r="H186" s="95"/>
      <c r="I186" s="95"/>
      <c r="J186" s="95"/>
      <c r="K186" s="95"/>
      <c r="L186" s="95"/>
      <c r="M186" s="95"/>
      <c r="N186" s="96"/>
      <c r="O186" s="198">
        <f>(2*C167+(C168*J168+C169*J169+C170*J170+C171*J171+C172*J172+C173*J173+C174*J174+C175*J175+C176*J176+C177*J177+C178*J178+C179*J179))/3</f>
        <v>0</v>
      </c>
      <c r="P186" s="199"/>
      <c r="Q186" s="163">
        <f>+O186*D181</f>
        <v>0</v>
      </c>
      <c r="R186" s="163">
        <f>+Q186-F181</f>
        <v>0</v>
      </c>
      <c r="S186" s="97" t="e">
        <f>+(Q186/F181-1)</f>
        <v>#DIV/0!</v>
      </c>
      <c r="AE186" s="15"/>
      <c r="AF186" s="15"/>
      <c r="AG186" s="15"/>
      <c r="AH186" s="15"/>
    </row>
    <row r="187" spans="1:35" ht="15" thickBot="1" x14ac:dyDescent="0.4">
      <c r="D187" s="93"/>
      <c r="E187" s="93"/>
      <c r="F187" s="98" t="s">
        <v>57</v>
      </c>
      <c r="G187" s="99"/>
      <c r="H187" s="99"/>
      <c r="I187" s="99"/>
      <c r="J187" s="99"/>
      <c r="K187" s="99"/>
      <c r="L187" s="99"/>
      <c r="M187" s="99"/>
      <c r="N187" s="100"/>
      <c r="O187" s="200">
        <f>+C167</f>
        <v>0</v>
      </c>
      <c r="P187" s="201"/>
      <c r="Q187" s="164">
        <f>+O187*D181</f>
        <v>0</v>
      </c>
      <c r="R187" s="164">
        <f>+Q187-F181</f>
        <v>0</v>
      </c>
      <c r="S187" s="101" t="e">
        <f>+(Q187/F181-1)</f>
        <v>#DIV/0!</v>
      </c>
      <c r="AE187" s="15"/>
      <c r="AF187" s="15"/>
      <c r="AG187" s="15"/>
      <c r="AH187" s="15"/>
    </row>
    <row r="188" spans="1:35" x14ac:dyDescent="0.35">
      <c r="AE188" s="15"/>
      <c r="AF188" s="15"/>
      <c r="AG188" s="15"/>
      <c r="AH188" s="15"/>
    </row>
    <row r="189" spans="1:35" ht="15" thickBot="1" x14ac:dyDescent="0.4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3"/>
      <c r="P189" s="103"/>
      <c r="Q189" s="103"/>
      <c r="R189" s="103"/>
      <c r="S189" s="103"/>
      <c r="T189" s="102"/>
      <c r="U189" s="103"/>
      <c r="V189" s="103"/>
      <c r="W189" s="103"/>
      <c r="X189" s="103"/>
      <c r="Y189" s="102"/>
      <c r="AD189" s="102"/>
      <c r="AE189" s="103"/>
      <c r="AF189" s="103"/>
      <c r="AG189" s="103"/>
      <c r="AH189" s="103"/>
      <c r="AI189" s="102"/>
    </row>
    <row r="190" spans="1:35" ht="15" thickTop="1" x14ac:dyDescent="0.35">
      <c r="S190" s="51"/>
      <c r="AE190" s="15"/>
      <c r="AF190" s="15"/>
      <c r="AG190" s="15"/>
      <c r="AH190" s="15"/>
    </row>
    <row r="191" spans="1:35" ht="15" thickBot="1" x14ac:dyDescent="0.4">
      <c r="O191" s="193" t="s">
        <v>51</v>
      </c>
      <c r="P191" s="193"/>
      <c r="Q191" s="193"/>
      <c r="R191" s="193"/>
      <c r="AE191" s="15"/>
      <c r="AF191" s="15"/>
      <c r="AG191" s="15"/>
      <c r="AH191" s="15"/>
    </row>
    <row r="192" spans="1:35" ht="15.5" thickTop="1" thickBot="1" x14ac:dyDescent="0.4">
      <c r="A192" s="184" t="s">
        <v>28</v>
      </c>
      <c r="B192" s="187" t="s">
        <v>40</v>
      </c>
      <c r="C192" s="188"/>
      <c r="D192" s="189" t="s">
        <v>24</v>
      </c>
      <c r="E192" s="190"/>
      <c r="F192" s="52" t="s">
        <v>23</v>
      </c>
      <c r="G192" s="53" t="s">
        <v>34</v>
      </c>
      <c r="H192" s="54" t="s">
        <v>48</v>
      </c>
      <c r="I192" s="54" t="s">
        <v>49</v>
      </c>
      <c r="J192" s="55" t="s">
        <v>38</v>
      </c>
      <c r="K192" s="56" t="s">
        <v>39</v>
      </c>
      <c r="L192" s="56" t="s">
        <v>35</v>
      </c>
      <c r="M192" s="57" t="s">
        <v>50</v>
      </c>
      <c r="N192" s="15"/>
      <c r="O192" s="149" t="s">
        <v>45</v>
      </c>
      <c r="P192" s="150">
        <f>+U198</f>
        <v>0.02</v>
      </c>
      <c r="Q192" s="149" t="s">
        <v>25</v>
      </c>
      <c r="R192" s="149" t="s">
        <v>26</v>
      </c>
      <c r="T192" s="181" t="s">
        <v>58</v>
      </c>
      <c r="U192" s="182"/>
      <c r="V192" s="182"/>
      <c r="W192" s="182"/>
      <c r="X192" s="182"/>
      <c r="Y192" s="183"/>
      <c r="AD192" s="115" t="s">
        <v>58</v>
      </c>
      <c r="AE192" s="124"/>
      <c r="AF192" s="124"/>
      <c r="AG192" s="124"/>
      <c r="AH192" s="124"/>
      <c r="AI192" s="116"/>
    </row>
    <row r="193" spans="1:35" ht="15" thickTop="1" x14ac:dyDescent="0.35">
      <c r="A193" s="185"/>
      <c r="B193" s="140">
        <f>+A197-U194</f>
        <v>18.899999999999999</v>
      </c>
      <c r="C193" s="128">
        <v>23</v>
      </c>
      <c r="D193" s="129">
        <v>20</v>
      </c>
      <c r="E193" s="144">
        <f>+U197</f>
        <v>5</v>
      </c>
      <c r="F193" s="58">
        <f t="shared" ref="F193:F198" si="50">+C193*D193</f>
        <v>460</v>
      </c>
      <c r="G193" s="105">
        <v>1</v>
      </c>
      <c r="H193" s="59">
        <f>+F193*G193</f>
        <v>460</v>
      </c>
      <c r="I193" s="59">
        <f t="shared" ref="I193:I205" si="51">+D193*G193</f>
        <v>20</v>
      </c>
      <c r="J193" s="60">
        <f>(+G193-G194)*G193</f>
        <v>0</v>
      </c>
      <c r="K193" s="61">
        <f>1-G194</f>
        <v>0</v>
      </c>
      <c r="L193" s="61">
        <f>+SUM(F193)</f>
        <v>460</v>
      </c>
      <c r="M193" s="62">
        <f>+SUM(D193)</f>
        <v>20</v>
      </c>
      <c r="N193" s="63"/>
      <c r="O193" s="151">
        <f>(Q193/M193)</f>
        <v>23.46</v>
      </c>
      <c r="P193" s="149"/>
      <c r="Q193" s="149">
        <f>+L193*(1+P192)</f>
        <v>469.2</v>
      </c>
      <c r="R193" s="152">
        <f>+Q193-L193</f>
        <v>9.1999999999999886</v>
      </c>
      <c r="T193" s="136" t="s">
        <v>88</v>
      </c>
      <c r="U193" s="125">
        <f>+A197</f>
        <v>20.399999999999999</v>
      </c>
      <c r="Y193" s="137"/>
      <c r="AD193" s="117" t="s">
        <v>60</v>
      </c>
      <c r="AE193" s="125"/>
      <c r="AF193" s="125"/>
      <c r="AG193" s="125"/>
      <c r="AH193" s="125"/>
      <c r="AI193" s="118" t="s">
        <v>77</v>
      </c>
    </row>
    <row r="194" spans="1:35" x14ac:dyDescent="0.35">
      <c r="A194" s="185"/>
      <c r="B194" s="141">
        <f>+B193-U195</f>
        <v>18.399999999999999</v>
      </c>
      <c r="C194" s="128">
        <v>22.5</v>
      </c>
      <c r="D194" s="129">
        <v>40</v>
      </c>
      <c r="E194" s="145">
        <f>+V197</f>
        <v>10</v>
      </c>
      <c r="F194" s="64">
        <f t="shared" si="50"/>
        <v>900</v>
      </c>
      <c r="G194" s="105">
        <v>1</v>
      </c>
      <c r="H194" s="59">
        <f t="shared" ref="H194:H204" si="52">+F194*G194</f>
        <v>900</v>
      </c>
      <c r="I194" s="59">
        <f t="shared" si="51"/>
        <v>40</v>
      </c>
      <c r="J194" s="65">
        <f t="shared" ref="J194:J202" si="53">(+G194-G195)*G194</f>
        <v>0</v>
      </c>
      <c r="K194" s="66">
        <f t="shared" ref="K194:K202" si="54">1-G195</f>
        <v>0</v>
      </c>
      <c r="L194" s="66">
        <f>+SUM(F193:F194)</f>
        <v>1360</v>
      </c>
      <c r="M194" s="67">
        <f>+SUM(D193:D194)</f>
        <v>60</v>
      </c>
      <c r="N194" s="63"/>
      <c r="O194" s="151">
        <f>+Q194/M194</f>
        <v>23.12</v>
      </c>
      <c r="P194" s="149"/>
      <c r="Q194" s="149">
        <f>+L194*(1+P192)</f>
        <v>1387.2</v>
      </c>
      <c r="R194" s="152">
        <f t="shared" ref="R194:R203" si="55">+Q194-L194</f>
        <v>27.200000000000045</v>
      </c>
      <c r="T194" s="136" t="s">
        <v>60</v>
      </c>
      <c r="U194" s="125">
        <v>1.5</v>
      </c>
      <c r="V194" s="51" t="s">
        <v>84</v>
      </c>
      <c r="Y194" s="137"/>
      <c r="AD194" s="117" t="s">
        <v>59</v>
      </c>
      <c r="AE194" s="125"/>
      <c r="AF194" s="125"/>
      <c r="AG194" s="125"/>
      <c r="AH194" s="125"/>
      <c r="AI194" s="123">
        <v>0.5</v>
      </c>
    </row>
    <row r="195" spans="1:35" ht="15" thickBot="1" x14ac:dyDescent="0.4">
      <c r="A195" s="186"/>
      <c r="B195" s="141">
        <f>+B194-U195</f>
        <v>17.899999999999999</v>
      </c>
      <c r="C195" s="128">
        <v>22</v>
      </c>
      <c r="D195" s="129">
        <v>80</v>
      </c>
      <c r="E195" s="145">
        <f>+W197</f>
        <v>20</v>
      </c>
      <c r="F195" s="64">
        <f t="shared" si="50"/>
        <v>1760</v>
      </c>
      <c r="G195" s="105">
        <v>1</v>
      </c>
      <c r="H195" s="59">
        <f t="shared" si="52"/>
        <v>1760</v>
      </c>
      <c r="I195" s="59">
        <f t="shared" si="51"/>
        <v>80</v>
      </c>
      <c r="J195" s="65">
        <f t="shared" si="53"/>
        <v>1</v>
      </c>
      <c r="K195" s="66">
        <f t="shared" si="54"/>
        <v>1</v>
      </c>
      <c r="L195" s="66">
        <f>+SUM(F193:F195)</f>
        <v>3120</v>
      </c>
      <c r="M195" s="67">
        <f>+SUM(D193:D195)</f>
        <v>140</v>
      </c>
      <c r="N195" s="63"/>
      <c r="O195" s="151">
        <f>+Q195/M195</f>
        <v>22.731428571428573</v>
      </c>
      <c r="P195" s="149"/>
      <c r="Q195" s="149">
        <f>+L195*(1+P192)</f>
        <v>3182.4</v>
      </c>
      <c r="R195" s="152">
        <f t="shared" si="55"/>
        <v>62.400000000000091</v>
      </c>
      <c r="T195" s="136" t="s">
        <v>59</v>
      </c>
      <c r="U195" s="125">
        <v>0.5</v>
      </c>
      <c r="V195" s="15" t="s">
        <v>86</v>
      </c>
      <c r="W195" s="125">
        <v>25</v>
      </c>
      <c r="X195" s="51" t="s">
        <v>89</v>
      </c>
      <c r="Y195" s="138"/>
      <c r="AD195" s="117" t="s">
        <v>61</v>
      </c>
      <c r="AE195" s="125"/>
      <c r="AF195" s="125"/>
      <c r="AG195" s="125"/>
      <c r="AH195" s="125"/>
      <c r="AI195" s="118" t="s">
        <v>78</v>
      </c>
    </row>
    <row r="196" spans="1:35" ht="15" thickTop="1" x14ac:dyDescent="0.35">
      <c r="A196" s="121" t="s">
        <v>95</v>
      </c>
      <c r="B196" s="141">
        <f>+B195-U195</f>
        <v>17.399999999999999</v>
      </c>
      <c r="C196" s="128">
        <v>21.5</v>
      </c>
      <c r="D196" s="129">
        <v>120</v>
      </c>
      <c r="E196" s="145">
        <f>+X197</f>
        <v>70</v>
      </c>
      <c r="F196" s="64">
        <f t="shared" si="50"/>
        <v>2580</v>
      </c>
      <c r="G196" s="105"/>
      <c r="H196" s="59">
        <f t="shared" si="52"/>
        <v>0</v>
      </c>
      <c r="I196" s="59">
        <f t="shared" si="51"/>
        <v>0</v>
      </c>
      <c r="J196" s="65">
        <f t="shared" si="53"/>
        <v>0</v>
      </c>
      <c r="K196" s="66">
        <f t="shared" si="54"/>
        <v>1</v>
      </c>
      <c r="L196" s="66">
        <f>+SUM(F193:F196)</f>
        <v>5700</v>
      </c>
      <c r="M196" s="67">
        <f>+SUM(D193:D196)</f>
        <v>260</v>
      </c>
      <c r="N196" s="63"/>
      <c r="O196" s="151">
        <f>+Q196/M196</f>
        <v>22.361538461538462</v>
      </c>
      <c r="P196" s="149"/>
      <c r="Q196" s="149">
        <f>+L196*(1+P192)</f>
        <v>5814</v>
      </c>
      <c r="R196" s="152">
        <f t="shared" si="55"/>
        <v>114</v>
      </c>
      <c r="T196" s="136" t="s">
        <v>61</v>
      </c>
      <c r="U196" s="125">
        <v>2.5</v>
      </c>
      <c r="V196" s="51" t="s">
        <v>84</v>
      </c>
      <c r="Y196" s="137"/>
      <c r="AD196" s="117" t="s">
        <v>62</v>
      </c>
      <c r="AE196" s="125"/>
      <c r="AF196" s="125"/>
      <c r="AG196" s="125"/>
      <c r="AH196" s="125"/>
      <c r="AI196" s="118" t="s">
        <v>79</v>
      </c>
    </row>
    <row r="197" spans="1:35" ht="15" thickBot="1" x14ac:dyDescent="0.4">
      <c r="A197" s="122">
        <v>20.399999999999999</v>
      </c>
      <c r="B197" s="141">
        <f>+B196-U195</f>
        <v>16.899999999999999</v>
      </c>
      <c r="C197" s="128"/>
      <c r="D197" s="129"/>
      <c r="E197" s="145"/>
      <c r="F197" s="64"/>
      <c r="G197" s="106"/>
      <c r="H197" s="59">
        <f t="shared" si="52"/>
        <v>0</v>
      </c>
      <c r="I197" s="59">
        <f t="shared" si="51"/>
        <v>0</v>
      </c>
      <c r="J197" s="65">
        <f t="shared" si="53"/>
        <v>0</v>
      </c>
      <c r="K197" s="66">
        <f t="shared" si="54"/>
        <v>1</v>
      </c>
      <c r="L197" s="66">
        <f>+SUM(F193:F197)</f>
        <v>5700</v>
      </c>
      <c r="M197" s="67">
        <f>+SUM(D193:D197)</f>
        <v>260</v>
      </c>
      <c r="N197" s="63"/>
      <c r="O197" s="151">
        <f>+Q197/M197</f>
        <v>22.361538461538462</v>
      </c>
      <c r="P197" s="149"/>
      <c r="Q197" s="149">
        <f>+L197*(1+P192)</f>
        <v>5814</v>
      </c>
      <c r="R197" s="152">
        <f t="shared" si="55"/>
        <v>114</v>
      </c>
      <c r="T197" s="136" t="s">
        <v>85</v>
      </c>
      <c r="U197" s="132">
        <v>5</v>
      </c>
      <c r="V197" s="132">
        <v>10</v>
      </c>
      <c r="W197" s="132">
        <v>20</v>
      </c>
      <c r="X197" s="132">
        <v>70</v>
      </c>
      <c r="Y197" s="133">
        <v>140</v>
      </c>
      <c r="AD197" s="117"/>
      <c r="AE197" s="125"/>
      <c r="AF197" s="125"/>
      <c r="AG197" s="125"/>
      <c r="AH197" s="125"/>
      <c r="AI197" s="118"/>
    </row>
    <row r="198" spans="1:35" ht="15" customHeight="1" thickTop="1" thickBot="1" x14ac:dyDescent="0.4">
      <c r="A198" s="139" t="s">
        <v>91</v>
      </c>
      <c r="B198" s="141">
        <f>+B197-U195</f>
        <v>16.399999999999999</v>
      </c>
      <c r="C198" s="128"/>
      <c r="D198" s="129"/>
      <c r="E198" s="145">
        <f>+Y198</f>
        <v>0</v>
      </c>
      <c r="F198" s="64">
        <f t="shared" si="50"/>
        <v>0</v>
      </c>
      <c r="G198" s="106"/>
      <c r="H198" s="59">
        <f t="shared" si="52"/>
        <v>0</v>
      </c>
      <c r="I198" s="59">
        <f t="shared" si="51"/>
        <v>0</v>
      </c>
      <c r="J198" s="65">
        <f t="shared" si="53"/>
        <v>0</v>
      </c>
      <c r="K198" s="66">
        <f t="shared" si="54"/>
        <v>1</v>
      </c>
      <c r="L198" s="66">
        <f>+SUM(F193:F198)</f>
        <v>5700</v>
      </c>
      <c r="M198" s="67">
        <f>+SUM(D193:D198)</f>
        <v>260</v>
      </c>
      <c r="N198" s="63"/>
      <c r="O198" s="151">
        <f t="shared" ref="O198:O203" si="56">+Q198/M198</f>
        <v>22.361538461538462</v>
      </c>
      <c r="P198" s="149"/>
      <c r="Q198" s="149">
        <f>+L198*(1+P192)</f>
        <v>5814</v>
      </c>
      <c r="R198" s="152">
        <f t="shared" si="55"/>
        <v>114</v>
      </c>
      <c r="T198" s="2" t="s">
        <v>87</v>
      </c>
      <c r="U198" s="135">
        <v>0.02</v>
      </c>
      <c r="V198" s="126"/>
      <c r="W198" s="126"/>
      <c r="X198" s="126"/>
      <c r="Y198" s="120"/>
      <c r="AD198" s="119"/>
      <c r="AE198" s="126"/>
      <c r="AF198" s="126"/>
      <c r="AG198" s="126"/>
      <c r="AH198" s="126"/>
      <c r="AI198" s="120"/>
    </row>
    <row r="199" spans="1:35" ht="15" customHeight="1" x14ac:dyDescent="0.35">
      <c r="A199" s="139">
        <f>+A197-U196</f>
        <v>17.899999999999999</v>
      </c>
      <c r="B199" s="141">
        <f>+B198-U195</f>
        <v>15.899999999999999</v>
      </c>
      <c r="C199" s="128"/>
      <c r="D199" s="129"/>
      <c r="E199" s="145">
        <f>+Y199</f>
        <v>0</v>
      </c>
      <c r="F199" s="64"/>
      <c r="G199" s="106"/>
      <c r="H199" s="59">
        <f t="shared" si="52"/>
        <v>0</v>
      </c>
      <c r="I199" s="59">
        <f t="shared" si="51"/>
        <v>0</v>
      </c>
      <c r="J199" s="65">
        <f t="shared" si="53"/>
        <v>0</v>
      </c>
      <c r="K199" s="66">
        <f t="shared" si="54"/>
        <v>1</v>
      </c>
      <c r="L199" s="66">
        <f>+SUM(F193:F199)</f>
        <v>5700</v>
      </c>
      <c r="M199" s="67">
        <f>+SUM(D193:D199)</f>
        <v>260</v>
      </c>
      <c r="N199" s="63"/>
      <c r="O199" s="151">
        <f t="shared" si="56"/>
        <v>22.361538461538462</v>
      </c>
      <c r="P199" s="149"/>
      <c r="Q199" s="149">
        <f>+L199*(1+P192)</f>
        <v>5814</v>
      </c>
      <c r="R199" s="152">
        <f t="shared" si="55"/>
        <v>114</v>
      </c>
      <c r="AE199" s="15"/>
      <c r="AF199" s="15"/>
      <c r="AG199" s="15"/>
      <c r="AH199" s="15"/>
    </row>
    <row r="200" spans="1:35" ht="15" customHeight="1" x14ac:dyDescent="0.35">
      <c r="B200" s="141">
        <f>+B199-U195</f>
        <v>15.399999999999999</v>
      </c>
      <c r="C200" s="128"/>
      <c r="D200" s="129"/>
      <c r="E200" s="145">
        <f>+Y200</f>
        <v>0</v>
      </c>
      <c r="F200" s="64"/>
      <c r="G200" s="106"/>
      <c r="H200" s="59">
        <f t="shared" si="52"/>
        <v>0</v>
      </c>
      <c r="I200" s="59">
        <f t="shared" si="51"/>
        <v>0</v>
      </c>
      <c r="J200" s="65">
        <f t="shared" si="53"/>
        <v>0</v>
      </c>
      <c r="K200" s="66">
        <f t="shared" si="54"/>
        <v>1</v>
      </c>
      <c r="L200" s="66">
        <f>+SUM(F193:F200)</f>
        <v>5700</v>
      </c>
      <c r="M200" s="67">
        <f>+SUM(D193:D200)</f>
        <v>260</v>
      </c>
      <c r="N200" s="63"/>
      <c r="O200" s="151">
        <f t="shared" si="56"/>
        <v>22.361538461538462</v>
      </c>
      <c r="P200" s="149"/>
      <c r="Q200" s="149">
        <f>+L200*(1+P192)</f>
        <v>5814</v>
      </c>
      <c r="R200" s="152">
        <f t="shared" si="55"/>
        <v>114</v>
      </c>
      <c r="AE200" s="15"/>
      <c r="AF200" s="15"/>
      <c r="AG200" s="15"/>
      <c r="AH200" s="15"/>
    </row>
    <row r="201" spans="1:35" ht="15" hidden="1" customHeight="1" x14ac:dyDescent="0.35">
      <c r="B201" s="141">
        <f>+B200-U195</f>
        <v>14.899999999999999</v>
      </c>
      <c r="C201" s="128"/>
      <c r="D201" s="129"/>
      <c r="E201" s="145"/>
      <c r="F201" s="64"/>
      <c r="G201" s="106"/>
      <c r="H201" s="59">
        <f t="shared" si="52"/>
        <v>0</v>
      </c>
      <c r="I201" s="59">
        <f t="shared" si="51"/>
        <v>0</v>
      </c>
      <c r="J201" s="65">
        <f t="shared" si="53"/>
        <v>0</v>
      </c>
      <c r="K201" s="66">
        <f t="shared" si="54"/>
        <v>1</v>
      </c>
      <c r="L201" s="66">
        <f>+SUM(F193:F201)</f>
        <v>5700</v>
      </c>
      <c r="M201" s="67">
        <f>+SUM(D193:D201)</f>
        <v>260</v>
      </c>
      <c r="N201" s="63"/>
      <c r="O201" s="151">
        <f t="shared" si="56"/>
        <v>22.361538461538462</v>
      </c>
      <c r="P201" s="149"/>
      <c r="Q201" s="149">
        <f>+L201*(1+P192)</f>
        <v>5814</v>
      </c>
      <c r="R201" s="152">
        <f t="shared" si="55"/>
        <v>114</v>
      </c>
      <c r="AE201" s="15"/>
      <c r="AF201" s="15"/>
      <c r="AG201" s="15"/>
      <c r="AH201" s="15"/>
    </row>
    <row r="202" spans="1:35" ht="15" hidden="1" customHeight="1" x14ac:dyDescent="0.35">
      <c r="B202" s="141">
        <f>+B201-U195</f>
        <v>14.399999999999999</v>
      </c>
      <c r="C202" s="128"/>
      <c r="D202" s="129"/>
      <c r="E202" s="145"/>
      <c r="F202" s="64"/>
      <c r="G202" s="106"/>
      <c r="H202" s="59">
        <f t="shared" si="52"/>
        <v>0</v>
      </c>
      <c r="I202" s="59">
        <f t="shared" si="51"/>
        <v>0</v>
      </c>
      <c r="J202" s="65">
        <f t="shared" si="53"/>
        <v>0</v>
      </c>
      <c r="K202" s="66">
        <f t="shared" si="54"/>
        <v>1</v>
      </c>
      <c r="L202" s="66">
        <f>+SUM(F193:F202)</f>
        <v>5700</v>
      </c>
      <c r="M202" s="67">
        <f>+SUM(D193:D202)</f>
        <v>260</v>
      </c>
      <c r="N202" s="63"/>
      <c r="O202" s="151">
        <f t="shared" si="56"/>
        <v>22.361538461538462</v>
      </c>
      <c r="P202" s="149"/>
      <c r="Q202" s="149">
        <f>+L202*(1+P192)</f>
        <v>5814</v>
      </c>
      <c r="R202" s="152">
        <f t="shared" si="55"/>
        <v>114</v>
      </c>
      <c r="AE202" s="15"/>
      <c r="AF202" s="15"/>
      <c r="AG202" s="15"/>
      <c r="AH202" s="15"/>
    </row>
    <row r="203" spans="1:35" ht="15" hidden="1" customHeight="1" x14ac:dyDescent="0.35">
      <c r="B203" s="141">
        <f>+B202-U195</f>
        <v>13.899999999999999</v>
      </c>
      <c r="C203" s="128"/>
      <c r="D203" s="129"/>
      <c r="E203" s="145"/>
      <c r="F203" s="64"/>
      <c r="G203" s="106"/>
      <c r="H203" s="59">
        <f t="shared" si="52"/>
        <v>0</v>
      </c>
      <c r="I203" s="59">
        <f t="shared" si="51"/>
        <v>0</v>
      </c>
      <c r="J203" s="65">
        <f>(+G203-G204)*G203</f>
        <v>0</v>
      </c>
      <c r="K203" s="66">
        <f>1-G204</f>
        <v>1</v>
      </c>
      <c r="L203" s="66">
        <f>+SUM(F193:F203)</f>
        <v>5700</v>
      </c>
      <c r="M203" s="67">
        <f>+SUM(D194:D204)</f>
        <v>240</v>
      </c>
      <c r="N203" s="63"/>
      <c r="O203" s="151">
        <f t="shared" si="56"/>
        <v>24.225000000000001</v>
      </c>
      <c r="P203" s="149"/>
      <c r="Q203" s="149">
        <f>+L203*(1+P192)</f>
        <v>5814</v>
      </c>
      <c r="R203" s="152">
        <f t="shared" si="55"/>
        <v>114</v>
      </c>
      <c r="AE203" s="15"/>
      <c r="AF203" s="15"/>
      <c r="AG203" s="15"/>
      <c r="AH203" s="15"/>
    </row>
    <row r="204" spans="1:35" ht="15" hidden="1" customHeight="1" x14ac:dyDescent="0.35">
      <c r="A204" t="s">
        <v>54</v>
      </c>
      <c r="B204" s="141"/>
      <c r="C204" s="128"/>
      <c r="D204" s="129"/>
      <c r="E204" s="145"/>
      <c r="F204" s="64"/>
      <c r="G204" s="106"/>
      <c r="H204" s="59">
        <f t="shared" si="52"/>
        <v>0</v>
      </c>
      <c r="I204" s="59">
        <f t="shared" si="51"/>
        <v>0</v>
      </c>
      <c r="J204" s="65">
        <f>(+G204-G205)*G204</f>
        <v>0</v>
      </c>
      <c r="K204" s="66">
        <f>1-G205</f>
        <v>1</v>
      </c>
      <c r="L204" s="66">
        <f>+SUM(F193:F204)</f>
        <v>5700</v>
      </c>
      <c r="M204" s="67">
        <f>+SUM(D193:D204)</f>
        <v>260</v>
      </c>
      <c r="N204" s="63"/>
      <c r="O204" s="151">
        <f>+Q204/M204</f>
        <v>22.361538461538462</v>
      </c>
      <c r="P204" s="149"/>
      <c r="Q204" s="149">
        <f>+L204*(1+P192)</f>
        <v>5814</v>
      </c>
      <c r="R204" s="152">
        <f>+Q204-L204</f>
        <v>114</v>
      </c>
      <c r="AE204" s="15"/>
      <c r="AF204" s="15"/>
      <c r="AG204" s="15"/>
      <c r="AH204" s="15"/>
    </row>
    <row r="205" spans="1:35" ht="15" thickBot="1" x14ac:dyDescent="0.4">
      <c r="B205" s="142"/>
      <c r="C205" s="128"/>
      <c r="D205" s="129"/>
      <c r="E205" s="146"/>
      <c r="F205" s="68"/>
      <c r="G205" s="107"/>
      <c r="H205" s="69"/>
      <c r="I205" s="69">
        <f t="shared" si="51"/>
        <v>0</v>
      </c>
      <c r="J205" s="70">
        <f>(+G205-G206)*G205</f>
        <v>0</v>
      </c>
      <c r="K205" s="71">
        <f>1-G206</f>
        <v>1</v>
      </c>
      <c r="L205" s="71"/>
      <c r="M205" s="72"/>
      <c r="N205" s="73"/>
      <c r="O205" s="153"/>
      <c r="P205" s="154"/>
      <c r="Q205" s="154"/>
      <c r="R205" s="155"/>
      <c r="AE205" s="15"/>
      <c r="AF205" s="15"/>
      <c r="AG205" s="15"/>
      <c r="AH205" s="15"/>
    </row>
    <row r="206" spans="1:35" ht="15.5" thickTop="1" thickBot="1" x14ac:dyDescent="0.4">
      <c r="C206" s="74"/>
      <c r="D206" s="177" t="s">
        <v>41</v>
      </c>
      <c r="E206" s="178"/>
      <c r="F206" s="75" t="s">
        <v>42</v>
      </c>
      <c r="G206" s="76"/>
      <c r="H206" s="15"/>
      <c r="I206" s="15"/>
      <c r="J206" s="15"/>
      <c r="K206" s="15"/>
      <c r="L206" s="15"/>
      <c r="M206" s="15"/>
      <c r="N206" s="77"/>
      <c r="O206" s="156" t="s">
        <v>46</v>
      </c>
      <c r="P206" s="157">
        <f>+P192</f>
        <v>0.02</v>
      </c>
      <c r="Q206" s="158" t="s">
        <v>25</v>
      </c>
      <c r="R206" s="158" t="s">
        <v>26</v>
      </c>
      <c r="S206" s="78"/>
      <c r="AE206" s="15"/>
      <c r="AF206" s="15"/>
      <c r="AG206" s="15"/>
      <c r="AH206" s="15"/>
    </row>
    <row r="207" spans="1:35" ht="15" thickBot="1" x14ac:dyDescent="0.4">
      <c r="C207" s="79"/>
      <c r="D207" s="179">
        <f>+D193*G193+D194*G194+D195*G195+D196*G196+D197*G197+D198*G198+D199*G199+D200*G200+D201*G201+D202*G202+D203*G203+D204*G204+D205*G205</f>
        <v>140</v>
      </c>
      <c r="E207" s="180"/>
      <c r="F207" s="80">
        <f>+F193*G193+F194*G194+F195*G195+F196*G196+F197*G197+F198*G198+F199*G199+F200*G200+F201*G201+F202*G202+F203*G203+F204*G204+F205*G205</f>
        <v>3120</v>
      </c>
      <c r="G207" s="81"/>
      <c r="H207" s="15"/>
      <c r="I207" s="15"/>
      <c r="J207" s="15"/>
      <c r="K207" s="15"/>
      <c r="L207" s="15"/>
      <c r="M207" s="15"/>
      <c r="N207" s="77"/>
      <c r="O207" s="191">
        <f>+Q207/D207</f>
        <v>22.731428571428573</v>
      </c>
      <c r="P207" s="192"/>
      <c r="Q207" s="159">
        <f>+F207*(1+P192)</f>
        <v>3182.4</v>
      </c>
      <c r="R207" s="159">
        <f>+Q207-F207</f>
        <v>62.400000000000091</v>
      </c>
      <c r="S207" s="82">
        <f>+(Q207/F207-1)</f>
        <v>2.0000000000000018E-2</v>
      </c>
      <c r="AE207" s="15"/>
      <c r="AF207" s="15"/>
      <c r="AG207" s="15"/>
      <c r="AH207" s="15"/>
    </row>
    <row r="208" spans="1:35" ht="15.5" thickTop="1" thickBot="1" x14ac:dyDescent="0.4">
      <c r="D208" s="83"/>
      <c r="E208" s="83"/>
      <c r="O208" s="160"/>
      <c r="R208" s="161"/>
      <c r="AE208" s="15"/>
      <c r="AF208" s="15"/>
      <c r="AG208" s="15"/>
      <c r="AH208" s="15"/>
    </row>
    <row r="209" spans="1:35" ht="22" thickTop="1" thickBot="1" x14ac:dyDescent="0.4">
      <c r="C209" s="84"/>
      <c r="D209" s="147" t="s">
        <v>43</v>
      </c>
      <c r="E209" s="148"/>
      <c r="F209" s="85">
        <f>+SUM(F193:F206)</f>
        <v>5700</v>
      </c>
      <c r="AE209" s="15"/>
      <c r="AF209" s="15"/>
      <c r="AG209" s="15"/>
      <c r="AH209" s="15"/>
    </row>
    <row r="210" spans="1:35" ht="15.5" thickTop="1" thickBot="1" x14ac:dyDescent="0.4">
      <c r="C210" s="84"/>
      <c r="D210" s="86"/>
      <c r="E210" s="86"/>
      <c r="F210" s="87"/>
      <c r="O210" s="177" t="s">
        <v>47</v>
      </c>
      <c r="P210" s="205"/>
      <c r="Q210" s="158" t="s">
        <v>25</v>
      </c>
      <c r="R210" s="158" t="s">
        <v>26</v>
      </c>
      <c r="AE210" s="15"/>
      <c r="AF210" s="15"/>
      <c r="AG210" s="15"/>
      <c r="AH210" s="15"/>
    </row>
    <row r="211" spans="1:35" x14ac:dyDescent="0.35">
      <c r="C211" s="84"/>
      <c r="D211" s="88"/>
      <c r="E211" s="88"/>
      <c r="F211" s="89" t="s">
        <v>55</v>
      </c>
      <c r="G211" s="90"/>
      <c r="H211" s="90"/>
      <c r="I211" s="90"/>
      <c r="J211" s="90"/>
      <c r="K211" s="90"/>
      <c r="L211" s="90"/>
      <c r="M211" s="90"/>
      <c r="N211" s="91"/>
      <c r="O211" s="196">
        <f>(C193+(C194*J194+C195*J195+C196*J196+C197*J197+C198*J198+C199*J199+C200*J200+C201*J201+C202*J202+C203*J203+C204*J204+C205*J205))/2</f>
        <v>22.5</v>
      </c>
      <c r="P211" s="197"/>
      <c r="Q211" s="162">
        <f>+O211*D207</f>
        <v>3150</v>
      </c>
      <c r="R211" s="162">
        <f>+Q211-F207</f>
        <v>30</v>
      </c>
      <c r="S211" s="92">
        <f>+(Q211/F207-1)</f>
        <v>9.6153846153845812E-3</v>
      </c>
      <c r="AE211" s="15"/>
      <c r="AF211" s="15"/>
      <c r="AG211" s="15"/>
      <c r="AH211" s="15"/>
    </row>
    <row r="212" spans="1:35" x14ac:dyDescent="0.35">
      <c r="D212" s="93"/>
      <c r="E212" s="93"/>
      <c r="F212" s="94" t="s">
        <v>56</v>
      </c>
      <c r="G212" s="95"/>
      <c r="H212" s="95"/>
      <c r="I212" s="95"/>
      <c r="J212" s="95"/>
      <c r="K212" s="95"/>
      <c r="L212" s="95"/>
      <c r="M212" s="95"/>
      <c r="N212" s="96"/>
      <c r="O212" s="198">
        <f>(2*C193+(C194*J194+C195*J195+C196*J196+C197*J197+C198*J198+C199*J199+C200*J200+C201*J201+C202*J202+C203*J203+C204*J204+C205*J205))/3</f>
        <v>22.666666666666668</v>
      </c>
      <c r="P212" s="199"/>
      <c r="Q212" s="163">
        <f>+O212*D207</f>
        <v>3173.3333333333335</v>
      </c>
      <c r="R212" s="163">
        <f>+Q212-F207</f>
        <v>53.333333333333485</v>
      </c>
      <c r="S212" s="97">
        <f>+(Q212/F207-1)</f>
        <v>1.7094017094017033E-2</v>
      </c>
      <c r="AE212" s="15"/>
      <c r="AF212" s="15"/>
      <c r="AG212" s="15"/>
      <c r="AH212" s="15"/>
    </row>
    <row r="213" spans="1:35" ht="15" thickBot="1" x14ac:dyDescent="0.4">
      <c r="D213" s="93"/>
      <c r="E213" s="93"/>
      <c r="F213" s="98" t="s">
        <v>57</v>
      </c>
      <c r="G213" s="99"/>
      <c r="H213" s="99"/>
      <c r="I213" s="99"/>
      <c r="J213" s="99"/>
      <c r="K213" s="99"/>
      <c r="L213" s="99"/>
      <c r="M213" s="99"/>
      <c r="N213" s="100"/>
      <c r="O213" s="200">
        <f>+C193</f>
        <v>23</v>
      </c>
      <c r="P213" s="201"/>
      <c r="Q213" s="164">
        <f>+O213*D207</f>
        <v>3220</v>
      </c>
      <c r="R213" s="164">
        <f>+Q213-F207</f>
        <v>100</v>
      </c>
      <c r="S213" s="101">
        <f>+(Q213/F207-1)</f>
        <v>3.2051282051282159E-2</v>
      </c>
      <c r="AE213" s="15"/>
      <c r="AF213" s="15"/>
      <c r="AG213" s="15"/>
      <c r="AH213" s="15"/>
    </row>
    <row r="214" spans="1:35" x14ac:dyDescent="0.35">
      <c r="AE214" s="15"/>
      <c r="AF214" s="15"/>
      <c r="AG214" s="15"/>
      <c r="AH214" s="15"/>
    </row>
    <row r="215" spans="1:35" ht="15" thickBot="1" x14ac:dyDescent="0.4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3"/>
      <c r="P215" s="103"/>
      <c r="Q215" s="103"/>
      <c r="R215" s="103"/>
      <c r="S215" s="103"/>
      <c r="T215" s="102"/>
      <c r="U215" s="103"/>
      <c r="V215" s="103"/>
      <c r="W215" s="103"/>
      <c r="X215" s="103"/>
      <c r="Y215" s="102"/>
      <c r="AD215" s="102"/>
      <c r="AE215" s="103"/>
      <c r="AF215" s="103"/>
      <c r="AG215" s="103"/>
      <c r="AH215" s="103"/>
      <c r="AI215" s="102"/>
    </row>
    <row r="216" spans="1:35" ht="15" thickTop="1" x14ac:dyDescent="0.35">
      <c r="S216" s="51"/>
      <c r="AE216" s="15"/>
      <c r="AF216" s="15"/>
      <c r="AG216" s="15"/>
      <c r="AH216" s="15"/>
    </row>
    <row r="217" spans="1:35" ht="15" thickBot="1" x14ac:dyDescent="0.4">
      <c r="O217" s="193" t="s">
        <v>51</v>
      </c>
      <c r="P217" s="193"/>
      <c r="Q217" s="193"/>
      <c r="R217" s="193"/>
      <c r="AE217" s="15"/>
      <c r="AF217" s="15"/>
      <c r="AG217" s="15"/>
      <c r="AH217" s="15"/>
    </row>
    <row r="218" spans="1:35" ht="16.5" customHeight="1" thickTop="1" thickBot="1" x14ac:dyDescent="0.4">
      <c r="A218" s="184" t="s">
        <v>22</v>
      </c>
      <c r="B218" s="187" t="s">
        <v>40</v>
      </c>
      <c r="C218" s="188"/>
      <c r="D218" s="189" t="s">
        <v>24</v>
      </c>
      <c r="E218" s="190"/>
      <c r="F218" s="52" t="s">
        <v>23</v>
      </c>
      <c r="G218" s="53" t="s">
        <v>34</v>
      </c>
      <c r="H218" s="54" t="s">
        <v>48</v>
      </c>
      <c r="I218" s="54" t="s">
        <v>49</v>
      </c>
      <c r="J218" s="55" t="s">
        <v>38</v>
      </c>
      <c r="K218" s="56" t="s">
        <v>39</v>
      </c>
      <c r="L218" s="56" t="s">
        <v>35</v>
      </c>
      <c r="M218" s="57" t="s">
        <v>50</v>
      </c>
      <c r="N218" s="15"/>
      <c r="O218" s="149" t="s">
        <v>45</v>
      </c>
      <c r="P218" s="150">
        <f>+U224</f>
        <v>0.02</v>
      </c>
      <c r="Q218" s="149" t="s">
        <v>25</v>
      </c>
      <c r="R218" s="149" t="s">
        <v>26</v>
      </c>
      <c r="T218" s="181" t="s">
        <v>58</v>
      </c>
      <c r="U218" s="182"/>
      <c r="V218" s="182"/>
      <c r="W218" s="182"/>
      <c r="X218" s="182"/>
      <c r="Y218" s="183"/>
      <c r="AD218" s="115" t="s">
        <v>58</v>
      </c>
      <c r="AE218" s="124"/>
      <c r="AF218" s="124"/>
      <c r="AG218" s="124"/>
      <c r="AH218" s="124"/>
      <c r="AI218" s="116"/>
    </row>
    <row r="219" spans="1:35" ht="15.75" customHeight="1" thickTop="1" x14ac:dyDescent="0.35">
      <c r="A219" s="185"/>
      <c r="B219" s="140">
        <f>+A223-U220</f>
        <v>0.89</v>
      </c>
      <c r="C219" s="128">
        <v>1.1499999999999999</v>
      </c>
      <c r="D219" s="129">
        <v>150</v>
      </c>
      <c r="E219" s="144">
        <f>+U223</f>
        <v>150</v>
      </c>
      <c r="F219" s="58">
        <f t="shared" ref="F219:F228" si="57">+C219*D219</f>
        <v>172.5</v>
      </c>
      <c r="G219" s="105">
        <v>1</v>
      </c>
      <c r="H219" s="59">
        <f>+F219*G219</f>
        <v>172.5</v>
      </c>
      <c r="I219" s="59">
        <f t="shared" ref="I219:I231" si="58">+D219*G219</f>
        <v>150</v>
      </c>
      <c r="J219" s="60">
        <f>(+G219-G220)*G219</f>
        <v>0</v>
      </c>
      <c r="K219" s="61">
        <f>1-G220</f>
        <v>0</v>
      </c>
      <c r="L219" s="61">
        <f>+SUM(F219)</f>
        <v>172.5</v>
      </c>
      <c r="M219" s="62">
        <f>+SUM(D219)</f>
        <v>150</v>
      </c>
      <c r="N219" s="63"/>
      <c r="O219" s="151">
        <f>(Q219/M219)</f>
        <v>1.173</v>
      </c>
      <c r="P219" s="149"/>
      <c r="Q219" s="149">
        <f>+L219*(1+P218)</f>
        <v>175.95000000000002</v>
      </c>
      <c r="R219" s="152">
        <f>+Q219-L219</f>
        <v>3.4500000000000171</v>
      </c>
      <c r="T219" s="136" t="s">
        <v>88</v>
      </c>
      <c r="U219" s="125">
        <f>+A223</f>
        <v>0.97</v>
      </c>
      <c r="Y219" s="137"/>
      <c r="AD219" s="117" t="s">
        <v>60</v>
      </c>
      <c r="AE219" s="125"/>
      <c r="AF219" s="125"/>
      <c r="AG219" s="125"/>
      <c r="AH219" s="125"/>
      <c r="AI219" s="118" t="s">
        <v>81</v>
      </c>
    </row>
    <row r="220" spans="1:35" ht="15" customHeight="1" x14ac:dyDescent="0.35">
      <c r="A220" s="185"/>
      <c r="B220" s="141">
        <f>+B219-U221</f>
        <v>0.88</v>
      </c>
      <c r="C220" s="128">
        <v>1.1399999999999999</v>
      </c>
      <c r="D220" s="129">
        <v>300</v>
      </c>
      <c r="E220" s="145">
        <f>+V223</f>
        <v>300</v>
      </c>
      <c r="F220" s="64">
        <f t="shared" si="57"/>
        <v>341.99999999999994</v>
      </c>
      <c r="G220" s="105">
        <v>1</v>
      </c>
      <c r="H220" s="59">
        <f t="shared" ref="H220:H230" si="59">+F220*G220</f>
        <v>341.99999999999994</v>
      </c>
      <c r="I220" s="59">
        <f t="shared" si="58"/>
        <v>300</v>
      </c>
      <c r="J220" s="65">
        <f t="shared" ref="J220:J228" si="60">(+G220-G221)*G220</f>
        <v>0</v>
      </c>
      <c r="K220" s="66">
        <f t="shared" ref="K220:K228" si="61">1-G221</f>
        <v>0</v>
      </c>
      <c r="L220" s="66">
        <f>+SUM(F219:F220)</f>
        <v>514.5</v>
      </c>
      <c r="M220" s="67">
        <f>+SUM(D219:D220)</f>
        <v>450</v>
      </c>
      <c r="N220" s="63"/>
      <c r="O220" s="151">
        <f>+Q220/M220</f>
        <v>1.1661999999999999</v>
      </c>
      <c r="P220" s="149"/>
      <c r="Q220" s="149">
        <f>+L220*(1+P218)</f>
        <v>524.79</v>
      </c>
      <c r="R220" s="152">
        <f t="shared" ref="R220:R229" si="62">+Q220-L220</f>
        <v>10.289999999999964</v>
      </c>
      <c r="T220" s="136" t="s">
        <v>60</v>
      </c>
      <c r="U220" s="125">
        <v>0.08</v>
      </c>
      <c r="V220" s="51" t="s">
        <v>84</v>
      </c>
      <c r="Y220" s="137"/>
      <c r="AD220" s="117" t="s">
        <v>59</v>
      </c>
      <c r="AE220" s="125"/>
      <c r="AF220" s="125"/>
      <c r="AG220" s="125"/>
      <c r="AH220" s="125"/>
      <c r="AI220" s="123">
        <v>0.01</v>
      </c>
    </row>
    <row r="221" spans="1:35" ht="15" customHeight="1" thickBot="1" x14ac:dyDescent="0.4">
      <c r="A221" s="186"/>
      <c r="B221" s="141">
        <f>+B220-U221</f>
        <v>0.87</v>
      </c>
      <c r="C221" s="128">
        <v>1.1299999999999999</v>
      </c>
      <c r="D221" s="129">
        <v>450</v>
      </c>
      <c r="E221" s="145">
        <f>+W223</f>
        <v>600</v>
      </c>
      <c r="F221" s="64">
        <f t="shared" si="57"/>
        <v>508.49999999999994</v>
      </c>
      <c r="G221" s="105">
        <v>1</v>
      </c>
      <c r="H221" s="59">
        <f t="shared" si="59"/>
        <v>508.49999999999994</v>
      </c>
      <c r="I221" s="59">
        <f t="shared" si="58"/>
        <v>450</v>
      </c>
      <c r="J221" s="65">
        <f t="shared" si="60"/>
        <v>0</v>
      </c>
      <c r="K221" s="66">
        <f t="shared" si="61"/>
        <v>0</v>
      </c>
      <c r="L221" s="66">
        <f>+SUM(F219:F221)</f>
        <v>1023</v>
      </c>
      <c r="M221" s="67">
        <f>+SUM(D219:D221)</f>
        <v>900</v>
      </c>
      <c r="N221" s="63"/>
      <c r="O221" s="151">
        <f>+Q221/M221</f>
        <v>1.1594</v>
      </c>
      <c r="P221" s="149"/>
      <c r="Q221" s="149">
        <f>+L221*(1+P218)</f>
        <v>1043.46</v>
      </c>
      <c r="R221" s="152">
        <f t="shared" si="62"/>
        <v>20.460000000000036</v>
      </c>
      <c r="T221" s="136" t="s">
        <v>59</v>
      </c>
      <c r="U221" s="125">
        <v>0.01</v>
      </c>
      <c r="V221" s="15" t="s">
        <v>86</v>
      </c>
      <c r="W221" s="125">
        <v>25</v>
      </c>
      <c r="X221" s="51" t="s">
        <v>89</v>
      </c>
      <c r="Y221" s="138"/>
      <c r="AD221" s="117" t="s">
        <v>61</v>
      </c>
      <c r="AE221" s="125"/>
      <c r="AF221" s="125"/>
      <c r="AG221" s="125"/>
      <c r="AH221" s="125"/>
      <c r="AI221" s="118" t="s">
        <v>82</v>
      </c>
    </row>
    <row r="222" spans="1:35" ht="15.75" customHeight="1" thickTop="1" x14ac:dyDescent="0.35">
      <c r="A222" s="121" t="s">
        <v>95</v>
      </c>
      <c r="B222" s="141">
        <f>+B221-U221</f>
        <v>0.86</v>
      </c>
      <c r="C222" s="128">
        <v>1.1200000000000001</v>
      </c>
      <c r="D222" s="129">
        <v>700</v>
      </c>
      <c r="E222" s="145">
        <f>+X223</f>
        <v>1500</v>
      </c>
      <c r="F222" s="64">
        <f t="shared" si="57"/>
        <v>784.00000000000011</v>
      </c>
      <c r="G222" s="105">
        <v>1</v>
      </c>
      <c r="H222" s="59">
        <f t="shared" si="59"/>
        <v>784.00000000000011</v>
      </c>
      <c r="I222" s="59">
        <f t="shared" si="58"/>
        <v>700</v>
      </c>
      <c r="J222" s="65">
        <f t="shared" si="60"/>
        <v>0</v>
      </c>
      <c r="K222" s="66">
        <f t="shared" si="61"/>
        <v>0</v>
      </c>
      <c r="L222" s="66">
        <f>+SUM(F219:F222)</f>
        <v>1807</v>
      </c>
      <c r="M222" s="67">
        <f>+SUM(D219:D222)</f>
        <v>1600</v>
      </c>
      <c r="N222" s="63"/>
      <c r="O222" s="151">
        <f>+Q222/M222</f>
        <v>1.1519625</v>
      </c>
      <c r="P222" s="149"/>
      <c r="Q222" s="149">
        <f>+L222*(1+P218)</f>
        <v>1843.14</v>
      </c>
      <c r="R222" s="152">
        <f t="shared" si="62"/>
        <v>36.1400000000001</v>
      </c>
      <c r="T222" s="136" t="s">
        <v>61</v>
      </c>
      <c r="U222" s="125">
        <v>0.16</v>
      </c>
      <c r="V222" s="51" t="s">
        <v>84</v>
      </c>
      <c r="Y222" s="137"/>
      <c r="AD222" s="117" t="s">
        <v>62</v>
      </c>
      <c r="AE222" s="125"/>
      <c r="AF222" s="125"/>
      <c r="AG222" s="125"/>
      <c r="AH222" s="125"/>
      <c r="AI222" s="118" t="s">
        <v>83</v>
      </c>
    </row>
    <row r="223" spans="1:35" ht="15" thickBot="1" x14ac:dyDescent="0.4">
      <c r="A223" s="122">
        <v>0.97</v>
      </c>
      <c r="B223" s="141">
        <f>+B222-U221</f>
        <v>0.85</v>
      </c>
      <c r="C223" s="128">
        <v>1.1100000000000001</v>
      </c>
      <c r="D223" s="129">
        <v>1400</v>
      </c>
      <c r="E223" s="145">
        <f>+Y223</f>
        <v>3500</v>
      </c>
      <c r="F223" s="64">
        <f t="shared" si="57"/>
        <v>1554.0000000000002</v>
      </c>
      <c r="G223" s="106">
        <v>1</v>
      </c>
      <c r="H223" s="59">
        <f t="shared" si="59"/>
        <v>1554.0000000000002</v>
      </c>
      <c r="I223" s="59">
        <f t="shared" si="58"/>
        <v>1400</v>
      </c>
      <c r="J223" s="65">
        <f t="shared" si="60"/>
        <v>0</v>
      </c>
      <c r="K223" s="66">
        <f t="shared" si="61"/>
        <v>0</v>
      </c>
      <c r="L223" s="66">
        <f>+SUM(F219:F223)</f>
        <v>3361</v>
      </c>
      <c r="M223" s="67">
        <f>+SUM(D219:D223)</f>
        <v>3000</v>
      </c>
      <c r="N223" s="63"/>
      <c r="O223" s="151">
        <f>+Q223/M223</f>
        <v>1.1427400000000001</v>
      </c>
      <c r="P223" s="149"/>
      <c r="Q223" s="149">
        <f>+L223*(1+P218)</f>
        <v>3428.2200000000003</v>
      </c>
      <c r="R223" s="152">
        <f t="shared" si="62"/>
        <v>67.220000000000255</v>
      </c>
      <c r="T223" s="136" t="s">
        <v>85</v>
      </c>
      <c r="U223" s="132">
        <v>150</v>
      </c>
      <c r="V223" s="132">
        <v>300</v>
      </c>
      <c r="W223" s="132">
        <v>600</v>
      </c>
      <c r="X223" s="132">
        <v>1500</v>
      </c>
      <c r="Y223" s="133">
        <v>3500</v>
      </c>
      <c r="AD223" s="117"/>
      <c r="AE223" s="125"/>
      <c r="AF223" s="125"/>
      <c r="AG223" s="125"/>
      <c r="AH223" s="125"/>
      <c r="AI223" s="118"/>
    </row>
    <row r="224" spans="1:35" ht="15" customHeight="1" thickTop="1" thickBot="1" x14ac:dyDescent="0.4">
      <c r="A224" s="139" t="s">
        <v>91</v>
      </c>
      <c r="B224" s="141">
        <f>+B223-U221</f>
        <v>0.84</v>
      </c>
      <c r="C224" s="128">
        <v>1.1000000000000001</v>
      </c>
      <c r="D224" s="129">
        <v>2200</v>
      </c>
      <c r="E224" s="145">
        <f>+Y224</f>
        <v>0</v>
      </c>
      <c r="F224" s="64">
        <f t="shared" si="57"/>
        <v>2420</v>
      </c>
      <c r="G224" s="106">
        <v>1</v>
      </c>
      <c r="H224" s="59">
        <f t="shared" si="59"/>
        <v>2420</v>
      </c>
      <c r="I224" s="59">
        <f t="shared" si="58"/>
        <v>2200</v>
      </c>
      <c r="J224" s="65">
        <f t="shared" si="60"/>
        <v>0</v>
      </c>
      <c r="K224" s="66">
        <f t="shared" si="61"/>
        <v>0</v>
      </c>
      <c r="L224" s="66">
        <f>+SUM(F219:F224)</f>
        <v>5781</v>
      </c>
      <c r="M224" s="67">
        <f>+SUM(D219:D224)</f>
        <v>5200</v>
      </c>
      <c r="N224" s="63"/>
      <c r="O224" s="151">
        <f t="shared" ref="O224:O229" si="63">+Q224/M224</f>
        <v>1.1339653846153845</v>
      </c>
      <c r="P224" s="149"/>
      <c r="Q224" s="149">
        <f>+L224*(1+P218)</f>
        <v>5896.62</v>
      </c>
      <c r="R224" s="152">
        <f t="shared" si="62"/>
        <v>115.61999999999989</v>
      </c>
      <c r="T224" s="2" t="s">
        <v>87</v>
      </c>
      <c r="U224" s="135">
        <v>0.02</v>
      </c>
      <c r="V224" s="126"/>
      <c r="W224" s="126"/>
      <c r="X224" s="126"/>
      <c r="Y224" s="120"/>
      <c r="AD224" s="119"/>
      <c r="AE224" s="126"/>
      <c r="AF224" s="126"/>
      <c r="AG224" s="126"/>
      <c r="AH224" s="126"/>
      <c r="AI224" s="120"/>
    </row>
    <row r="225" spans="1:34" ht="15" customHeight="1" x14ac:dyDescent="0.35">
      <c r="A225" s="139">
        <f>+A223-U222</f>
        <v>0.80999999999999994</v>
      </c>
      <c r="B225" s="141">
        <f>+B224-U221</f>
        <v>0.83</v>
      </c>
      <c r="C225" s="128">
        <v>1.0900000000000001</v>
      </c>
      <c r="D225" s="129">
        <v>6000</v>
      </c>
      <c r="E225" s="145">
        <f>+Y225</f>
        <v>0</v>
      </c>
      <c r="F225" s="64">
        <f t="shared" si="57"/>
        <v>6540.0000000000009</v>
      </c>
      <c r="G225" s="106">
        <v>1</v>
      </c>
      <c r="H225" s="59">
        <f t="shared" si="59"/>
        <v>6540.0000000000009</v>
      </c>
      <c r="I225" s="59">
        <f t="shared" si="58"/>
        <v>6000</v>
      </c>
      <c r="J225" s="65">
        <f t="shared" si="60"/>
        <v>0</v>
      </c>
      <c r="K225" s="66">
        <f t="shared" si="61"/>
        <v>0</v>
      </c>
      <c r="L225" s="66">
        <f>+SUM(F219:F225)</f>
        <v>12321</v>
      </c>
      <c r="M225" s="67">
        <f>+SUM(D219:D225)</f>
        <v>11200</v>
      </c>
      <c r="N225" s="63"/>
      <c r="O225" s="151">
        <f t="shared" si="63"/>
        <v>1.1220910714285715</v>
      </c>
      <c r="P225" s="149"/>
      <c r="Q225" s="149">
        <f>+L225*(1+P218)</f>
        <v>12567.42</v>
      </c>
      <c r="R225" s="152">
        <f t="shared" si="62"/>
        <v>246.42000000000007</v>
      </c>
      <c r="AE225" s="15"/>
      <c r="AF225" s="15"/>
      <c r="AG225" s="15"/>
      <c r="AH225" s="15"/>
    </row>
    <row r="226" spans="1:34" ht="15" customHeight="1" x14ac:dyDescent="0.35">
      <c r="B226" s="141">
        <f>+B225-U221</f>
        <v>0.82</v>
      </c>
      <c r="C226" s="128">
        <v>1.08</v>
      </c>
      <c r="D226" s="129">
        <v>12000</v>
      </c>
      <c r="E226" s="145">
        <f>+Y226</f>
        <v>0</v>
      </c>
      <c r="F226" s="64">
        <f t="shared" si="57"/>
        <v>12960</v>
      </c>
      <c r="G226" s="106">
        <v>1</v>
      </c>
      <c r="H226" s="59">
        <f t="shared" si="59"/>
        <v>12960</v>
      </c>
      <c r="I226" s="59">
        <f t="shared" si="58"/>
        <v>12000</v>
      </c>
      <c r="J226" s="65">
        <f t="shared" si="60"/>
        <v>0</v>
      </c>
      <c r="K226" s="66">
        <f t="shared" si="61"/>
        <v>0</v>
      </c>
      <c r="L226" s="66">
        <f>+SUM(F219:F226)</f>
        <v>25281</v>
      </c>
      <c r="M226" s="67">
        <f>+SUM(D219:D226)</f>
        <v>23200</v>
      </c>
      <c r="N226" s="63"/>
      <c r="O226" s="151">
        <f t="shared" si="63"/>
        <v>1.1114922413793102</v>
      </c>
      <c r="P226" s="149"/>
      <c r="Q226" s="149">
        <f>+L226*(1+P218)</f>
        <v>25786.62</v>
      </c>
      <c r="R226" s="152">
        <f t="shared" si="62"/>
        <v>505.61999999999898</v>
      </c>
      <c r="AE226" s="15"/>
      <c r="AF226" s="15"/>
      <c r="AG226" s="15"/>
      <c r="AH226" s="15"/>
    </row>
    <row r="227" spans="1:34" ht="15" customHeight="1" x14ac:dyDescent="0.35">
      <c r="B227" s="141">
        <f>+B226-U221</f>
        <v>0.80999999999999994</v>
      </c>
      <c r="C227" s="128">
        <v>1.07</v>
      </c>
      <c r="D227" s="129">
        <v>17000</v>
      </c>
      <c r="E227" s="145"/>
      <c r="F227" s="64">
        <f t="shared" si="57"/>
        <v>18190</v>
      </c>
      <c r="G227" s="106">
        <v>1</v>
      </c>
      <c r="H227" s="59">
        <f t="shared" si="59"/>
        <v>18190</v>
      </c>
      <c r="I227" s="59">
        <f t="shared" si="58"/>
        <v>17000</v>
      </c>
      <c r="J227" s="65">
        <f t="shared" si="60"/>
        <v>0</v>
      </c>
      <c r="K227" s="66">
        <f t="shared" si="61"/>
        <v>0</v>
      </c>
      <c r="L227" s="66">
        <f>+SUM(F219:F227)</f>
        <v>43471</v>
      </c>
      <c r="M227" s="67">
        <f>+SUM(D219:D227)</f>
        <v>40200</v>
      </c>
      <c r="N227" s="63"/>
      <c r="O227" s="151">
        <f t="shared" si="63"/>
        <v>1.1029955223880596</v>
      </c>
      <c r="P227" s="149"/>
      <c r="Q227" s="149">
        <f>+L227*(1+P218)</f>
        <v>44340.42</v>
      </c>
      <c r="R227" s="152">
        <f t="shared" si="62"/>
        <v>869.41999999999825</v>
      </c>
      <c r="AE227" s="15"/>
      <c r="AF227" s="15"/>
      <c r="AG227" s="15"/>
      <c r="AH227" s="15"/>
    </row>
    <row r="228" spans="1:34" ht="15" customHeight="1" x14ac:dyDescent="0.35">
      <c r="B228" s="141">
        <f>+B227-U221</f>
        <v>0.79999999999999993</v>
      </c>
      <c r="C228" s="128">
        <v>0.92</v>
      </c>
      <c r="D228" s="129">
        <v>16462</v>
      </c>
      <c r="E228" s="145"/>
      <c r="F228" s="64">
        <f t="shared" si="57"/>
        <v>15145.04</v>
      </c>
      <c r="G228" s="106">
        <v>1</v>
      </c>
      <c r="H228" s="59">
        <f t="shared" si="59"/>
        <v>15145.04</v>
      </c>
      <c r="I228" s="59">
        <f t="shared" si="58"/>
        <v>16462</v>
      </c>
      <c r="J228" s="65">
        <f t="shared" si="60"/>
        <v>1</v>
      </c>
      <c r="K228" s="66">
        <f t="shared" si="61"/>
        <v>1</v>
      </c>
      <c r="L228" s="66">
        <f>+SUM(F219:F228)</f>
        <v>58616.04</v>
      </c>
      <c r="M228" s="67">
        <f>+SUM(D219:D228)</f>
        <v>56662</v>
      </c>
      <c r="N228" s="63"/>
      <c r="O228" s="151">
        <f t="shared" si="63"/>
        <v>1.0551756168155024</v>
      </c>
      <c r="P228" s="149"/>
      <c r="Q228" s="149">
        <f>+L228*(1+P218)</f>
        <v>59788.360800000002</v>
      </c>
      <c r="R228" s="152">
        <f t="shared" si="62"/>
        <v>1172.3208000000013</v>
      </c>
      <c r="AE228" s="15"/>
      <c r="AF228" s="15"/>
      <c r="AG228" s="15"/>
      <c r="AH228" s="15"/>
    </row>
    <row r="229" spans="1:34" ht="15" customHeight="1" x14ac:dyDescent="0.35">
      <c r="B229" s="141">
        <f>+B228-U221</f>
        <v>0.78999999999999992</v>
      </c>
      <c r="C229" s="128"/>
      <c r="D229" s="129"/>
      <c r="E229" s="145"/>
      <c r="F229" s="64"/>
      <c r="G229" s="106"/>
      <c r="H229" s="59">
        <f t="shared" si="59"/>
        <v>0</v>
      </c>
      <c r="I229" s="59">
        <f t="shared" si="58"/>
        <v>0</v>
      </c>
      <c r="J229" s="65">
        <f>(+G229-G230)*G229</f>
        <v>0</v>
      </c>
      <c r="K229" s="66">
        <f>1-G230</f>
        <v>1</v>
      </c>
      <c r="L229" s="66">
        <f>+SUM(F219:F229)</f>
        <v>58616.04</v>
      </c>
      <c r="M229" s="67">
        <f>+SUM(D220:D230)</f>
        <v>56512</v>
      </c>
      <c r="N229" s="63"/>
      <c r="O229" s="151">
        <f t="shared" si="63"/>
        <v>1.057976373159683</v>
      </c>
      <c r="P229" s="149"/>
      <c r="Q229" s="149">
        <f>+L229*(1+P218)</f>
        <v>59788.360800000002</v>
      </c>
      <c r="R229" s="152">
        <f t="shared" si="62"/>
        <v>1172.3208000000013</v>
      </c>
      <c r="AE229" s="15"/>
      <c r="AF229" s="15"/>
      <c r="AG229" s="15"/>
      <c r="AH229" s="15"/>
    </row>
    <row r="230" spans="1:34" ht="15" customHeight="1" thickBot="1" x14ac:dyDescent="0.4">
      <c r="A230" t="s">
        <v>54</v>
      </c>
      <c r="B230" s="141"/>
      <c r="C230" s="128"/>
      <c r="D230" s="129"/>
      <c r="E230" s="145"/>
      <c r="F230" s="64"/>
      <c r="G230" s="106"/>
      <c r="H230" s="59">
        <f t="shared" si="59"/>
        <v>0</v>
      </c>
      <c r="I230" s="59">
        <f t="shared" si="58"/>
        <v>0</v>
      </c>
      <c r="J230" s="65">
        <f>(+G230-G231)*G230</f>
        <v>0</v>
      </c>
      <c r="K230" s="66">
        <f>1-G231</f>
        <v>1</v>
      </c>
      <c r="L230" s="66">
        <f>+SUM(F219:F230)</f>
        <v>58616.04</v>
      </c>
      <c r="M230" s="67">
        <f>+SUM(D219:D230)</f>
        <v>56662</v>
      </c>
      <c r="N230" s="63"/>
      <c r="O230" s="151">
        <f>+Q230/M230</f>
        <v>1.0551756168155024</v>
      </c>
      <c r="P230" s="149"/>
      <c r="Q230" s="149">
        <f>+L230*(1+P218)</f>
        <v>59788.360800000002</v>
      </c>
      <c r="R230" s="152">
        <f>+Q230-L230</f>
        <v>1172.3208000000013</v>
      </c>
      <c r="AE230" s="15"/>
      <c r="AF230" s="15"/>
      <c r="AG230" s="15"/>
      <c r="AH230" s="15"/>
    </row>
    <row r="231" spans="1:34" ht="15" thickBot="1" x14ac:dyDescent="0.4">
      <c r="B231" s="142"/>
      <c r="C231" s="128"/>
      <c r="D231" s="129"/>
      <c r="E231" s="146"/>
      <c r="F231" s="68"/>
      <c r="G231" s="107"/>
      <c r="H231" s="69"/>
      <c r="I231" s="69">
        <f t="shared" si="58"/>
        <v>0</v>
      </c>
      <c r="J231" s="70">
        <f>(+G231-G232)*G231</f>
        <v>0</v>
      </c>
      <c r="K231" s="71">
        <f>1-G232</f>
        <v>1</v>
      </c>
      <c r="L231" s="71"/>
      <c r="M231" s="72"/>
      <c r="N231" s="73"/>
      <c r="O231" s="153"/>
      <c r="P231" s="154"/>
      <c r="Q231" s="154"/>
      <c r="R231" s="155"/>
      <c r="AD231" s="171">
        <v>0.97</v>
      </c>
      <c r="AE231" s="172">
        <v>250</v>
      </c>
      <c r="AF231" s="15"/>
      <c r="AG231" s="15"/>
      <c r="AH231" s="15"/>
    </row>
    <row r="232" spans="1:34" ht="15.5" thickTop="1" thickBot="1" x14ac:dyDescent="0.4">
      <c r="C232" s="74"/>
      <c r="D232" s="177" t="s">
        <v>41</v>
      </c>
      <c r="E232" s="178"/>
      <c r="F232" s="75" t="s">
        <v>42</v>
      </c>
      <c r="G232" s="76"/>
      <c r="H232" s="15"/>
      <c r="I232" s="15"/>
      <c r="J232" s="15"/>
      <c r="K232" s="15"/>
      <c r="L232" s="15"/>
      <c r="M232" s="15"/>
      <c r="N232" s="77"/>
      <c r="O232" s="156" t="s">
        <v>46</v>
      </c>
      <c r="P232" s="157">
        <f>+P218</f>
        <v>0.02</v>
      </c>
      <c r="Q232" s="158" t="s">
        <v>25</v>
      </c>
      <c r="R232" s="158" t="s">
        <v>26</v>
      </c>
      <c r="S232" s="78"/>
      <c r="AD232" s="173">
        <v>0.96</v>
      </c>
      <c r="AE232" s="174">
        <v>500</v>
      </c>
      <c r="AF232" s="15"/>
      <c r="AG232" s="15"/>
      <c r="AH232" s="15"/>
    </row>
    <row r="233" spans="1:34" ht="15" thickBot="1" x14ac:dyDescent="0.4">
      <c r="C233" s="79"/>
      <c r="D233" s="179">
        <f>+D219*G219+D220*G220+D221*G221+D222*G222+D223*G223+D224*G224+D225*G225+D226*G226+D227*G227+D228*G228+D229*G229+D230*G230+D231*G231</f>
        <v>56662</v>
      </c>
      <c r="E233" s="180"/>
      <c r="F233" s="80">
        <f>+F219*G219+F220*G220+F221*G221+F222*G222+F223*G223+F224*G224+F225*G225+F226*G226+F227*G227+F228*G228+F229*G229+F230*G230+F231*G231</f>
        <v>58616.04</v>
      </c>
      <c r="G233" s="81"/>
      <c r="H233" s="15"/>
      <c r="I233" s="15"/>
      <c r="J233" s="15"/>
      <c r="K233" s="15"/>
      <c r="L233" s="15"/>
      <c r="M233" s="15"/>
      <c r="N233" s="77"/>
      <c r="O233" s="191">
        <f>+Q233/D233</f>
        <v>1.0551756168155024</v>
      </c>
      <c r="P233" s="192"/>
      <c r="Q233" s="159">
        <f>+F233*(1+P218)</f>
        <v>59788.360800000002</v>
      </c>
      <c r="R233" s="159">
        <f>+Q233-F233</f>
        <v>1172.3208000000013</v>
      </c>
      <c r="S233" s="82">
        <f>+(Q233/F233-1)</f>
        <v>2.0000000000000018E-2</v>
      </c>
      <c r="AD233" s="173">
        <v>0.95</v>
      </c>
      <c r="AE233" s="174">
        <v>1000</v>
      </c>
      <c r="AF233" s="15"/>
      <c r="AG233" s="15"/>
      <c r="AH233" s="15"/>
    </row>
    <row r="234" spans="1:34" ht="15.5" thickTop="1" thickBot="1" x14ac:dyDescent="0.4">
      <c r="D234" s="83"/>
      <c r="E234" s="83"/>
      <c r="O234" s="160"/>
      <c r="R234" s="161"/>
      <c r="AD234" s="173">
        <v>0.94</v>
      </c>
      <c r="AE234" s="174">
        <v>2000</v>
      </c>
      <c r="AF234" s="15"/>
      <c r="AG234" s="15"/>
      <c r="AH234" s="15"/>
    </row>
    <row r="235" spans="1:34" ht="22" thickTop="1" thickBot="1" x14ac:dyDescent="0.4">
      <c r="C235" s="84"/>
      <c r="D235" s="147" t="s">
        <v>43</v>
      </c>
      <c r="E235" s="148"/>
      <c r="F235" s="85">
        <f>+SUM(F219:F232)</f>
        <v>58616.04</v>
      </c>
      <c r="AD235" s="173">
        <v>0.93</v>
      </c>
      <c r="AE235" s="174">
        <v>3000</v>
      </c>
      <c r="AF235" s="15"/>
      <c r="AG235" s="15"/>
      <c r="AH235" s="15"/>
    </row>
    <row r="236" spans="1:34" ht="15.5" thickTop="1" thickBot="1" x14ac:dyDescent="0.4">
      <c r="C236" s="84"/>
      <c r="D236" s="86"/>
      <c r="E236" s="86"/>
      <c r="F236" s="87"/>
      <c r="O236" s="177" t="s">
        <v>47</v>
      </c>
      <c r="P236" s="205"/>
      <c r="Q236" s="158" t="s">
        <v>25</v>
      </c>
      <c r="R236" s="158" t="s">
        <v>26</v>
      </c>
      <c r="AD236" s="173">
        <v>0.92</v>
      </c>
      <c r="AE236" s="174">
        <v>6000</v>
      </c>
      <c r="AF236" s="15"/>
      <c r="AG236" s="15"/>
      <c r="AH236" s="15"/>
    </row>
    <row r="237" spans="1:34" x14ac:dyDescent="0.35">
      <c r="C237" s="84"/>
      <c r="D237" s="88"/>
      <c r="E237" s="88"/>
      <c r="F237" s="89" t="s">
        <v>55</v>
      </c>
      <c r="G237" s="90"/>
      <c r="H237" s="90"/>
      <c r="I237" s="90"/>
      <c r="J237" s="90"/>
      <c r="K237" s="90"/>
      <c r="L237" s="90"/>
      <c r="M237" s="90"/>
      <c r="N237" s="91"/>
      <c r="O237" s="196">
        <f>(C219+(C220*J220+C221*J221+C222*J222+C223*J223+C224*J224+C225*J225+C226*J226+C227*J227+C228*J228+C229*J229+C230*J230+C231*J231))/2</f>
        <v>1.0349999999999999</v>
      </c>
      <c r="P237" s="197"/>
      <c r="Q237" s="162">
        <f>+O237*D233</f>
        <v>58645.17</v>
      </c>
      <c r="R237" s="162">
        <f>+Q237-F233</f>
        <v>29.129999999997381</v>
      </c>
      <c r="S237" s="92">
        <f>+(Q237/F233-1)</f>
        <v>4.9696294734347113E-4</v>
      </c>
      <c r="AD237" s="173">
        <v>0.91</v>
      </c>
      <c r="AE237" s="174">
        <v>6000</v>
      </c>
      <c r="AF237" s="15"/>
      <c r="AG237" s="15"/>
      <c r="AH237" s="15"/>
    </row>
    <row r="238" spans="1:34" x14ac:dyDescent="0.35">
      <c r="D238" s="93"/>
      <c r="E238" s="93"/>
      <c r="F238" s="94" t="s">
        <v>56</v>
      </c>
      <c r="G238" s="95"/>
      <c r="H238" s="95"/>
      <c r="I238" s="95"/>
      <c r="J238" s="95"/>
      <c r="K238" s="95"/>
      <c r="L238" s="95"/>
      <c r="M238" s="95"/>
      <c r="N238" s="96"/>
      <c r="O238" s="198">
        <f>(2*C219+(C220*J220+C221*J221+C222*J222+C223*J223+C224*J224+C225*J225+C226*J226+C227*J227+C228*J228+C229*J229+C230*J230+C231*J231))/3</f>
        <v>1.0733333333333333</v>
      </c>
      <c r="P238" s="199"/>
      <c r="Q238" s="163">
        <f>+O238*D233</f>
        <v>60817.213333333326</v>
      </c>
      <c r="R238" s="163">
        <f>+Q238-F233</f>
        <v>2201.173333333325</v>
      </c>
      <c r="S238" s="97">
        <f>+(Q238/F233-1)</f>
        <v>3.7552406019467188E-2</v>
      </c>
      <c r="AD238" s="173">
        <v>0.9</v>
      </c>
      <c r="AE238" s="174">
        <v>12000</v>
      </c>
      <c r="AF238" s="15"/>
      <c r="AG238" s="15"/>
      <c r="AH238" s="15"/>
    </row>
    <row r="239" spans="1:34" ht="15" thickBot="1" x14ac:dyDescent="0.4">
      <c r="D239" s="93"/>
      <c r="E239" s="93"/>
      <c r="F239" s="98" t="s">
        <v>57</v>
      </c>
      <c r="G239" s="99"/>
      <c r="H239" s="99"/>
      <c r="I239" s="99"/>
      <c r="J239" s="99"/>
      <c r="K239" s="99"/>
      <c r="L239" s="99"/>
      <c r="M239" s="99"/>
      <c r="N239" s="100"/>
      <c r="O239" s="200">
        <f>+C219</f>
        <v>1.1499999999999999</v>
      </c>
      <c r="P239" s="201"/>
      <c r="Q239" s="164">
        <f>+O239*D233</f>
        <v>65161.299999999996</v>
      </c>
      <c r="R239" s="164">
        <f>+Q239-F233</f>
        <v>6545.2599999999948</v>
      </c>
      <c r="S239" s="101">
        <f>+(Q239/F233-1)</f>
        <v>0.11166329216371484</v>
      </c>
      <c r="AD239" s="173">
        <v>0.89</v>
      </c>
      <c r="AE239" s="174">
        <v>17000</v>
      </c>
      <c r="AF239" s="15"/>
      <c r="AG239" s="15"/>
      <c r="AH239" s="15"/>
    </row>
    <row r="240" spans="1:34" ht="15" thickBot="1" x14ac:dyDescent="0.4">
      <c r="AD240" s="175">
        <v>0.88</v>
      </c>
      <c r="AE240" s="176">
        <v>17000</v>
      </c>
      <c r="AF240" s="15"/>
      <c r="AG240" s="15"/>
      <c r="AH240" s="15"/>
    </row>
    <row r="241" spans="1:35" ht="15" thickBot="1" x14ac:dyDescent="0.4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3"/>
      <c r="P241" s="103"/>
      <c r="Q241" s="103"/>
      <c r="R241" s="103"/>
      <c r="S241" s="103"/>
      <c r="T241" s="102"/>
      <c r="U241" s="103"/>
      <c r="V241" s="103"/>
      <c r="W241" s="103"/>
      <c r="X241" s="103"/>
      <c r="Y241" s="102"/>
      <c r="AD241" s="102"/>
      <c r="AE241" s="103"/>
      <c r="AF241" s="103"/>
      <c r="AG241" s="103"/>
      <c r="AH241" s="103"/>
      <c r="AI241" s="102"/>
    </row>
    <row r="242" spans="1:35" ht="15" thickTop="1" x14ac:dyDescent="0.35">
      <c r="AE242" s="15"/>
      <c r="AF242" s="15"/>
      <c r="AG242" s="15"/>
      <c r="AH242" s="15"/>
    </row>
    <row r="243" spans="1:35" x14ac:dyDescent="0.35">
      <c r="AE243" s="15"/>
      <c r="AF243" s="15"/>
      <c r="AG243" s="15"/>
      <c r="AH243" s="15"/>
    </row>
    <row r="244" spans="1:35" x14ac:dyDescent="0.35">
      <c r="AE244" s="15"/>
      <c r="AF244" s="15"/>
      <c r="AG244" s="15"/>
      <c r="AH244" s="15"/>
    </row>
    <row r="245" spans="1:35" x14ac:dyDescent="0.35">
      <c r="AE245" s="15"/>
      <c r="AF245" s="15"/>
      <c r="AG245" s="15"/>
      <c r="AH245" s="15"/>
    </row>
    <row r="246" spans="1:35" x14ac:dyDescent="0.35">
      <c r="AE246" s="15"/>
      <c r="AF246" s="15"/>
      <c r="AG246" s="15"/>
      <c r="AH246" s="15"/>
    </row>
    <row r="247" spans="1:35" x14ac:dyDescent="0.35">
      <c r="AE247" s="15"/>
      <c r="AF247" s="15"/>
      <c r="AG247" s="15"/>
      <c r="AH247" s="15"/>
    </row>
  </sheetData>
  <sheetProtection sheet="1" objects="1" scenarios="1"/>
  <mergeCells count="108">
    <mergeCell ref="O239:P239"/>
    <mergeCell ref="O9:R9"/>
    <mergeCell ref="O35:R35"/>
    <mergeCell ref="O61:R61"/>
    <mergeCell ref="O87:R87"/>
    <mergeCell ref="O113:R113"/>
    <mergeCell ref="O165:R165"/>
    <mergeCell ref="O213:P213"/>
    <mergeCell ref="O184:P184"/>
    <mergeCell ref="O185:P185"/>
    <mergeCell ref="O186:P186"/>
    <mergeCell ref="O187:P187"/>
    <mergeCell ref="O134:P134"/>
    <mergeCell ref="O236:P236"/>
    <mergeCell ref="O237:P237"/>
    <mergeCell ref="O207:P207"/>
    <mergeCell ref="O210:P210"/>
    <mergeCell ref="O211:P211"/>
    <mergeCell ref="O212:P212"/>
    <mergeCell ref="O57:P57"/>
    <mergeCell ref="O238:P238"/>
    <mergeCell ref="A62:A65"/>
    <mergeCell ref="B62:C62"/>
    <mergeCell ref="D62:E62"/>
    <mergeCell ref="T62:Y62"/>
    <mergeCell ref="A10:A13"/>
    <mergeCell ref="A36:A39"/>
    <mergeCell ref="B36:C36"/>
    <mergeCell ref="D36:E36"/>
    <mergeCell ref="D50:E50"/>
    <mergeCell ref="T10:Y10"/>
    <mergeCell ref="D10:E10"/>
    <mergeCell ref="D25:E25"/>
    <mergeCell ref="D24:E24"/>
    <mergeCell ref="B10:C10"/>
    <mergeCell ref="O28:P28"/>
    <mergeCell ref="O51:P51"/>
    <mergeCell ref="O54:P54"/>
    <mergeCell ref="O55:P55"/>
    <mergeCell ref="O25:P25"/>
    <mergeCell ref="O29:P29"/>
    <mergeCell ref="T36:Y36"/>
    <mergeCell ref="T140:Y140"/>
    <mergeCell ref="T88:Y88"/>
    <mergeCell ref="O30:P30"/>
    <mergeCell ref="O31:P31"/>
    <mergeCell ref="D51:E51"/>
    <mergeCell ref="O56:P56"/>
    <mergeCell ref="D102:E102"/>
    <mergeCell ref="D103:E103"/>
    <mergeCell ref="A114:A117"/>
    <mergeCell ref="B114:C114"/>
    <mergeCell ref="D114:E114"/>
    <mergeCell ref="O103:P103"/>
    <mergeCell ref="O106:P106"/>
    <mergeCell ref="T114:Y114"/>
    <mergeCell ref="D76:E76"/>
    <mergeCell ref="D77:E77"/>
    <mergeCell ref="A88:A91"/>
    <mergeCell ref="B88:C88"/>
    <mergeCell ref="D88:E88"/>
    <mergeCell ref="O77:P77"/>
    <mergeCell ref="O80:P80"/>
    <mergeCell ref="O81:P81"/>
    <mergeCell ref="O82:P82"/>
    <mergeCell ref="O83:P83"/>
    <mergeCell ref="D128:E128"/>
    <mergeCell ref="O107:P107"/>
    <mergeCell ref="O108:P108"/>
    <mergeCell ref="O135:P135"/>
    <mergeCell ref="O109:P109"/>
    <mergeCell ref="O129:P129"/>
    <mergeCell ref="D154:E154"/>
    <mergeCell ref="D155:E155"/>
    <mergeCell ref="A166:A169"/>
    <mergeCell ref="B166:C166"/>
    <mergeCell ref="D166:E166"/>
    <mergeCell ref="D129:E129"/>
    <mergeCell ref="A140:A143"/>
    <mergeCell ref="B140:C140"/>
    <mergeCell ref="D140:E140"/>
    <mergeCell ref="O133:P133"/>
    <mergeCell ref="O139:R139"/>
    <mergeCell ref="O155:P155"/>
    <mergeCell ref="O158:P158"/>
    <mergeCell ref="O159:P159"/>
    <mergeCell ref="O160:P160"/>
    <mergeCell ref="O161:P161"/>
    <mergeCell ref="O132:P132"/>
    <mergeCell ref="D232:E232"/>
    <mergeCell ref="D233:E233"/>
    <mergeCell ref="T166:Y166"/>
    <mergeCell ref="D180:E180"/>
    <mergeCell ref="D181:E181"/>
    <mergeCell ref="A192:A195"/>
    <mergeCell ref="B192:C192"/>
    <mergeCell ref="D192:E192"/>
    <mergeCell ref="T192:Y192"/>
    <mergeCell ref="O233:P233"/>
    <mergeCell ref="O191:R191"/>
    <mergeCell ref="D206:E206"/>
    <mergeCell ref="D207:E207"/>
    <mergeCell ref="A218:A221"/>
    <mergeCell ref="B218:C218"/>
    <mergeCell ref="D218:E218"/>
    <mergeCell ref="O217:R217"/>
    <mergeCell ref="O181:P181"/>
    <mergeCell ref="T218:Y2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Stelliant Groupe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MAREEL Luc</dc:creator>
  <cp:lastModifiedBy>MAREEL Luc</cp:lastModifiedBy>
  <dcterms:created xsi:type="dcterms:W3CDTF">2021-04-27T19:53:10Z</dcterms:created>
  <dcterms:modified xsi:type="dcterms:W3CDTF">2026-09-05T22:45:10Z</dcterms:modified>
</cp:coreProperties>
</file>